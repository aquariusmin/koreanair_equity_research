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바탕화면\광운대학교\재무분석\"/>
    </mc:Choice>
  </mc:AlternateContent>
  <xr:revisionPtr revIDLastSave="0" documentId="13_ncr:1_{37E7ADB1-F31F-4BA1-B8F9-0E952EE3D2B5}" xr6:coauthVersionLast="47" xr6:coauthVersionMax="47" xr10:uidLastSave="{00000000-0000-0000-0000-000000000000}"/>
  <bookViews>
    <workbookView xWindow="0" yWindow="0" windowWidth="19200" windowHeight="21000" activeTab="2" xr2:uid="{11A430CB-101A-0E46-8439-65521BCD1085}"/>
  </bookViews>
  <sheets>
    <sheet name="타인자본비용" sheetId="1" r:id="rId1"/>
    <sheet name="자기자본비용" sheetId="2" r:id="rId2"/>
    <sheet name="자본구조" sheetId="3" r:id="rId3"/>
    <sheet name="가치평가" sheetId="4" r:id="rId4"/>
    <sheet name="상대가치비교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5" l="1"/>
  <c r="D5" i="2"/>
  <c r="N10" i="5"/>
  <c r="N9" i="5"/>
  <c r="N8" i="5"/>
  <c r="M10" i="5"/>
  <c r="M9" i="5"/>
  <c r="M8" i="5"/>
  <c r="G34" i="5"/>
  <c r="D34" i="5"/>
  <c r="E34" i="5"/>
  <c r="C34" i="5"/>
  <c r="E32" i="5"/>
  <c r="D32" i="5"/>
  <c r="C32" i="5"/>
  <c r="G30" i="5"/>
  <c r="E30" i="5"/>
  <c r="D30" i="5"/>
  <c r="C30" i="5"/>
  <c r="H13" i="4"/>
  <c r="H14" i="4"/>
  <c r="H15" i="4"/>
  <c r="H16" i="4"/>
  <c r="H12" i="4"/>
  <c r="G13" i="4"/>
  <c r="G14" i="4"/>
  <c r="G15" i="4"/>
  <c r="G16" i="4"/>
  <c r="G12" i="4"/>
  <c r="F12" i="4"/>
  <c r="F13" i="4"/>
  <c r="F15" i="4"/>
  <c r="F16" i="4"/>
  <c r="F14" i="4"/>
  <c r="E13" i="4"/>
  <c r="E14" i="4"/>
  <c r="E15" i="4"/>
  <c r="E16" i="4"/>
  <c r="E12" i="4"/>
  <c r="D13" i="4"/>
  <c r="D14" i="4"/>
  <c r="D15" i="4"/>
  <c r="D16" i="4"/>
  <c r="D12" i="4"/>
  <c r="F7" i="4"/>
  <c r="F8" i="4"/>
  <c r="F6" i="4"/>
  <c r="E6" i="4"/>
  <c r="E7" i="4"/>
  <c r="E8" i="4"/>
  <c r="E5" i="4"/>
  <c r="D6" i="4"/>
  <c r="D7" i="4"/>
  <c r="D8" i="4"/>
  <c r="D5" i="4"/>
  <c r="G8" i="4"/>
  <c r="L3" i="4"/>
  <c r="L4" i="4"/>
  <c r="L5" i="4"/>
  <c r="L6" i="4"/>
  <c r="K7" i="4" l="1"/>
  <c r="L7" i="4" s="1"/>
  <c r="G4" i="4" s="1"/>
  <c r="H4" i="4" l="1"/>
  <c r="G5" i="4"/>
  <c r="G7" i="4"/>
  <c r="H6" i="4"/>
  <c r="H8" i="4"/>
  <c r="F5" i="4"/>
  <c r="H5" i="4"/>
  <c r="D4" i="4"/>
  <c r="H7" i="4"/>
  <c r="E4" i="4"/>
  <c r="G6" i="4"/>
  <c r="F4" i="4"/>
  <c r="C6" i="3"/>
  <c r="C5" i="3"/>
  <c r="K11" i="4" l="1"/>
  <c r="K13" i="4" s="1"/>
  <c r="K17" i="4" s="1"/>
  <c r="K18" i="4" s="1"/>
  <c r="C11" i="3"/>
  <c r="I8" i="2"/>
  <c r="R4" i="2"/>
  <c r="R5" i="2" s="1"/>
  <c r="R6" i="2" s="1"/>
  <c r="C31" i="2"/>
  <c r="C30" i="2"/>
  <c r="G20" i="2"/>
  <c r="F24" i="2"/>
  <c r="B5" i="2" l="1"/>
</calcChain>
</file>

<file path=xl/sharedStrings.xml><?xml version="1.0" encoding="utf-8"?>
<sst xmlns="http://schemas.openxmlformats.org/spreadsheetml/2006/main" count="253" uniqueCount="178">
  <si>
    <t>대한항공108-1</t>
  </si>
  <si>
    <t>대한항공108-2</t>
  </si>
  <si>
    <t>대한항공107-1</t>
  </si>
  <si>
    <t>대한항공107-3</t>
  </si>
  <si>
    <t>대한항공107-2</t>
  </si>
  <si>
    <t>대한항공106-1</t>
  </si>
  <si>
    <t>대한항공106-3</t>
  </si>
  <si>
    <t>대한항공106-2</t>
  </si>
  <si>
    <t>대한항공105-1</t>
  </si>
  <si>
    <t>대한항공105-2</t>
  </si>
  <si>
    <t>대한항공102-2</t>
  </si>
  <si>
    <t>대한항공100-2</t>
  </si>
  <si>
    <t>대한항공92CB</t>
  </si>
  <si>
    <t>YTM(%)</t>
    <phoneticPr fontId="2" type="noConversion"/>
  </si>
  <si>
    <t>비중(%)</t>
    <phoneticPr fontId="2" type="noConversion"/>
  </si>
  <si>
    <t>채권</t>
    <phoneticPr fontId="2" type="noConversion"/>
  </si>
  <si>
    <t>합계</t>
    <phoneticPr fontId="2" type="noConversion"/>
  </si>
  <si>
    <t>가중평균에 의한 타인자본비용</t>
    <phoneticPr fontId="2" type="noConversion"/>
  </si>
  <si>
    <t>신용등급에 의한 평가(36개월 기준)</t>
    <phoneticPr fontId="2" type="noConversion"/>
  </si>
  <si>
    <t>신용등급에 의한 평가(60개월 기준)</t>
    <phoneticPr fontId="2" type="noConversion"/>
  </si>
  <si>
    <t>배당성향</t>
    <phoneticPr fontId="2" type="noConversion"/>
  </si>
  <si>
    <t>ROE</t>
    <phoneticPr fontId="2" type="noConversion"/>
  </si>
  <si>
    <t>추정성장률(g)</t>
    <phoneticPr fontId="2" type="noConversion"/>
  </si>
  <si>
    <t>GDP 실질성장률</t>
    <phoneticPr fontId="2" type="noConversion"/>
  </si>
  <si>
    <t>주당배당금(D0)</t>
    <phoneticPr fontId="2" type="noConversion"/>
  </si>
  <si>
    <t>현재가치(P0)</t>
    <phoneticPr fontId="2" type="noConversion"/>
  </si>
  <si>
    <t>일자</t>
  </si>
  <si>
    <t>3개월</t>
  </si>
  <si>
    <t>6개월</t>
  </si>
  <si>
    <t>9개월</t>
  </si>
  <si>
    <t>1년</t>
  </si>
  <si>
    <t>1년6개월</t>
  </si>
  <si>
    <t>2년</t>
  </si>
  <si>
    <t>2년6개월</t>
  </si>
  <si>
    <t>3년</t>
  </si>
  <si>
    <t>5년</t>
  </si>
  <si>
    <t>7년</t>
  </si>
  <si>
    <t>10년</t>
  </si>
  <si>
    <t>20년</t>
  </si>
  <si>
    <t>30년</t>
  </si>
  <si>
    <t xml:space="preserve"> </t>
  </si>
  <si>
    <t>%</t>
  </si>
  <si>
    <r>
      <rPr>
        <sz val="9"/>
        <color theme="1"/>
        <rFont val="맑은 고딕"/>
        <family val="2"/>
        <charset val="129"/>
        <scheme val="minor"/>
      </rPr>
      <t>베타</t>
    </r>
    <r>
      <rPr>
        <sz val="9"/>
        <color theme="1"/>
        <rFont val="Arial"/>
        <family val="2"/>
      </rPr>
      <t xml:space="preserve"> (D,1Yr)</t>
    </r>
  </si>
  <si>
    <r>
      <rPr>
        <sz val="9"/>
        <color theme="1"/>
        <rFont val="맑은 고딕"/>
        <family val="2"/>
        <charset val="129"/>
        <scheme val="minor"/>
      </rPr>
      <t>베타</t>
    </r>
    <r>
      <rPr>
        <sz val="9"/>
        <color theme="1"/>
        <rFont val="Arial"/>
        <family val="2"/>
      </rPr>
      <t xml:space="preserve"> (M,3Yr)</t>
    </r>
  </si>
  <si>
    <r>
      <rPr>
        <sz val="9"/>
        <color theme="1"/>
        <rFont val="맑은 고딕"/>
        <family val="2"/>
        <charset val="129"/>
        <scheme val="minor"/>
      </rPr>
      <t>베타</t>
    </r>
    <r>
      <rPr>
        <sz val="9"/>
        <color theme="1"/>
        <rFont val="Arial"/>
        <family val="2"/>
      </rPr>
      <t xml:space="preserve"> (M,5Yr)</t>
    </r>
  </si>
  <si>
    <r>
      <rPr>
        <sz val="9"/>
        <color theme="1"/>
        <rFont val="맑은 고딕"/>
        <family val="2"/>
        <charset val="129"/>
        <scheme val="minor"/>
      </rPr>
      <t>베타</t>
    </r>
    <r>
      <rPr>
        <sz val="9"/>
        <color theme="1"/>
        <rFont val="Arial"/>
        <family val="2"/>
      </rPr>
      <t xml:space="preserve"> (W,1Yr)</t>
    </r>
  </si>
  <si>
    <r>
      <rPr>
        <sz val="9"/>
        <color theme="1"/>
        <rFont val="맑은 고딕"/>
        <family val="2"/>
        <charset val="129"/>
        <scheme val="minor"/>
      </rPr>
      <t>베타</t>
    </r>
    <r>
      <rPr>
        <sz val="9"/>
        <color theme="1"/>
        <rFont val="Arial"/>
        <family val="2"/>
      </rPr>
      <t xml:space="preserve"> (W,2Yr)</t>
    </r>
  </si>
  <si>
    <r>
      <rPr>
        <sz val="9"/>
        <color theme="1"/>
        <rFont val="맑은 고딕"/>
        <family val="2"/>
        <charset val="129"/>
      </rPr>
      <t>평균베타</t>
    </r>
    <phoneticPr fontId="2" type="noConversion"/>
  </si>
  <si>
    <t>시작일자</t>
  </si>
  <si>
    <t>종료일자</t>
  </si>
  <si>
    <t>수익률</t>
  </si>
  <si>
    <r>
      <rPr>
        <sz val="9"/>
        <color rgb="FF000000"/>
        <rFont val="맑은 고딕"/>
        <family val="2"/>
        <charset val="129"/>
      </rPr>
      <t>평균시장수익률</t>
    </r>
    <phoneticPr fontId="2" type="noConversion"/>
  </si>
  <si>
    <t>마켓프리미엄</t>
    <phoneticPr fontId="2" type="noConversion"/>
  </si>
  <si>
    <t>CAPM</t>
    <phoneticPr fontId="2" type="noConversion"/>
  </si>
  <si>
    <t>현재 배당(D0)</t>
    <phoneticPr fontId="2" type="noConversion"/>
  </si>
  <si>
    <t>1년후 배당(D1)</t>
    <phoneticPr fontId="2" type="noConversion"/>
  </si>
  <si>
    <t>2년후 배당(D2)</t>
    <phoneticPr fontId="2" type="noConversion"/>
  </si>
  <si>
    <t>3년후 배당(D3)</t>
    <phoneticPr fontId="2" type="noConversion"/>
  </si>
  <si>
    <t>3년 이후의 배당들의 현재가격(P2)</t>
    <phoneticPr fontId="2" type="noConversion"/>
  </si>
  <si>
    <t>평균</t>
    <phoneticPr fontId="2" type="noConversion"/>
  </si>
  <si>
    <t>GDP 평균성장률</t>
    <phoneticPr fontId="2" type="noConversion"/>
  </si>
  <si>
    <t>총차입부채(천원)</t>
    <phoneticPr fontId="2" type="noConversion"/>
  </si>
  <si>
    <t>시가총액(백만원)</t>
    <phoneticPr fontId="2" type="noConversion"/>
  </si>
  <si>
    <t>한계세율(%)</t>
    <phoneticPr fontId="2" type="noConversion"/>
  </si>
  <si>
    <t>타인자본가중치(Wd)</t>
    <phoneticPr fontId="2" type="noConversion"/>
  </si>
  <si>
    <t>자기자본가중치(We)</t>
    <phoneticPr fontId="2" type="noConversion"/>
  </si>
  <si>
    <t>타인자본비용(Rd)</t>
    <phoneticPr fontId="2" type="noConversion"/>
  </si>
  <si>
    <t>자기자본비용(CAPM, Re)</t>
    <phoneticPr fontId="2" type="noConversion"/>
  </si>
  <si>
    <t>법인세율(한계세율, t)</t>
    <phoneticPr fontId="2" type="noConversion"/>
  </si>
  <si>
    <t>WACC</t>
    <phoneticPr fontId="2" type="noConversion"/>
  </si>
  <si>
    <t>할인률(R)</t>
    <phoneticPr fontId="2" type="noConversion"/>
  </si>
  <si>
    <t>14.13%%</t>
    <phoneticPr fontId="2" type="noConversion"/>
  </si>
  <si>
    <t>Name</t>
  </si>
  <si>
    <r>
      <rPr>
        <sz val="9"/>
        <color theme="1"/>
        <rFont val="맑은 고딕"/>
        <family val="2"/>
        <charset val="129"/>
        <scheme val="minor"/>
      </rPr>
      <t>무위험수익률</t>
    </r>
    <r>
      <rPr>
        <sz val="9"/>
        <color theme="1"/>
        <rFont val="Arial"/>
        <family val="2"/>
      </rPr>
      <t>(%)</t>
    </r>
  </si>
  <si>
    <r>
      <rPr>
        <sz val="9"/>
        <color theme="1"/>
        <rFont val="맑은 고딕"/>
        <family val="2"/>
        <charset val="129"/>
        <scheme val="minor"/>
      </rPr>
      <t>위험프리미엄</t>
    </r>
    <r>
      <rPr>
        <sz val="9"/>
        <color theme="1"/>
        <rFont val="Arial"/>
        <family val="2"/>
      </rPr>
      <t>(%)</t>
    </r>
  </si>
  <si>
    <r>
      <rPr>
        <sz val="9"/>
        <color theme="1"/>
        <rFont val="맑은 고딕"/>
        <family val="2"/>
        <charset val="129"/>
        <scheme val="minor"/>
      </rPr>
      <t>베타</t>
    </r>
    <r>
      <rPr>
        <sz val="9"/>
        <color theme="1"/>
        <rFont val="Arial"/>
        <family val="2"/>
      </rPr>
      <t>(-)</t>
    </r>
  </si>
  <si>
    <r>
      <rPr>
        <sz val="9"/>
        <color theme="1"/>
        <rFont val="맑은 고딕"/>
        <family val="2"/>
        <charset val="129"/>
        <scheme val="minor"/>
      </rPr>
      <t>자기자본비용</t>
    </r>
    <r>
      <rPr>
        <sz val="9"/>
        <color theme="1"/>
        <rFont val="Arial"/>
        <family val="2"/>
      </rPr>
      <t>(%)</t>
    </r>
  </si>
  <si>
    <r>
      <rPr>
        <sz val="9"/>
        <color theme="1"/>
        <rFont val="맑은 고딕"/>
        <family val="2"/>
        <charset val="129"/>
        <scheme val="minor"/>
      </rPr>
      <t>한계세율</t>
    </r>
    <r>
      <rPr>
        <sz val="9"/>
        <color theme="1"/>
        <rFont val="Arial"/>
        <family val="2"/>
      </rPr>
      <t>(%)</t>
    </r>
  </si>
  <si>
    <r>
      <rPr>
        <sz val="9"/>
        <color theme="1"/>
        <rFont val="맑은 고딕"/>
        <family val="2"/>
        <charset val="129"/>
        <scheme val="minor"/>
      </rPr>
      <t>타인자본비용</t>
    </r>
    <r>
      <rPr>
        <sz val="9"/>
        <color theme="1"/>
        <rFont val="Arial"/>
        <family val="2"/>
      </rPr>
      <t>(%)</t>
    </r>
  </si>
  <si>
    <r>
      <rPr>
        <sz val="9"/>
        <color theme="1"/>
        <rFont val="맑은 고딕"/>
        <family val="2"/>
        <charset val="129"/>
        <scheme val="minor"/>
      </rPr>
      <t>타인자본비중</t>
    </r>
    <r>
      <rPr>
        <sz val="9"/>
        <color theme="1"/>
        <rFont val="Arial"/>
        <family val="2"/>
      </rPr>
      <t>(%)</t>
    </r>
  </si>
  <si>
    <r>
      <rPr>
        <sz val="9"/>
        <color theme="1"/>
        <rFont val="맑은 고딕"/>
        <family val="2"/>
        <charset val="129"/>
        <scheme val="minor"/>
      </rPr>
      <t>자기자본비중</t>
    </r>
    <r>
      <rPr>
        <sz val="9"/>
        <color theme="1"/>
        <rFont val="Arial"/>
        <family val="2"/>
      </rPr>
      <t>(%)</t>
    </r>
  </si>
  <si>
    <t>WACC(%)</t>
  </si>
  <si>
    <r>
      <rPr>
        <sz val="9"/>
        <color theme="1"/>
        <rFont val="맑은 고딕"/>
        <family val="2"/>
        <charset val="129"/>
        <scheme val="minor"/>
      </rPr>
      <t>대한항공</t>
    </r>
  </si>
  <si>
    <r>
      <rPr>
        <sz val="9"/>
        <color theme="1"/>
        <rFont val="맑은 고딕"/>
        <family val="2"/>
        <charset val="129"/>
        <scheme val="minor"/>
      </rPr>
      <t>대한항공</t>
    </r>
    <r>
      <rPr>
        <sz val="9"/>
        <color theme="1"/>
        <rFont val="Arial"/>
        <family val="2"/>
      </rPr>
      <t>(</t>
    </r>
    <r>
      <rPr>
        <sz val="9"/>
        <color theme="1"/>
        <rFont val="Malgun Gothic"/>
        <family val="2"/>
        <charset val="129"/>
      </rPr>
      <t>추정</t>
    </r>
    <r>
      <rPr>
        <sz val="9"/>
        <color theme="1"/>
        <rFont val="Arial"/>
        <family val="2"/>
      </rPr>
      <t>)</t>
    </r>
    <phoneticPr fontId="2" type="noConversion"/>
  </si>
  <si>
    <t>WACC-2%</t>
    <phoneticPr fontId="2" type="noConversion"/>
  </si>
  <si>
    <t>WACC-1%</t>
    <phoneticPr fontId="2" type="noConversion"/>
  </si>
  <si>
    <t>WACC+1%</t>
    <phoneticPr fontId="2" type="noConversion"/>
  </si>
  <si>
    <t>WACC+2%</t>
    <phoneticPr fontId="2" type="noConversion"/>
  </si>
  <si>
    <t>g-2%</t>
    <phoneticPr fontId="2" type="noConversion"/>
  </si>
  <si>
    <t>g-1%</t>
    <phoneticPr fontId="2" type="noConversion"/>
  </si>
  <si>
    <t>g</t>
    <phoneticPr fontId="2" type="noConversion"/>
  </si>
  <si>
    <t>g+1%</t>
    <phoneticPr fontId="2" type="noConversion"/>
  </si>
  <si>
    <t>g+2%</t>
    <phoneticPr fontId="2" type="noConversion"/>
  </si>
  <si>
    <t>DCF</t>
    <phoneticPr fontId="2" type="noConversion"/>
  </si>
  <si>
    <t>APV</t>
    <phoneticPr fontId="2" type="noConversion"/>
  </si>
  <si>
    <t>EBIT</t>
    <phoneticPr fontId="2" type="noConversion"/>
  </si>
  <si>
    <t>감가상각비</t>
    <phoneticPr fontId="2" type="noConversion"/>
  </si>
  <si>
    <t>CAPEX</t>
    <phoneticPr fontId="2" type="noConversion"/>
  </si>
  <si>
    <t>dNWC</t>
    <phoneticPr fontId="2" type="noConversion"/>
  </si>
  <si>
    <t>Ru-2%</t>
    <phoneticPr fontId="2" type="noConversion"/>
  </si>
  <si>
    <t>Ru-1%</t>
    <phoneticPr fontId="2" type="noConversion"/>
  </si>
  <si>
    <t>Ru</t>
    <phoneticPr fontId="2" type="noConversion"/>
  </si>
  <si>
    <t>Ru+1%</t>
    <phoneticPr fontId="2" type="noConversion"/>
  </si>
  <si>
    <t>Ru+2%</t>
    <phoneticPr fontId="2" type="noConversion"/>
  </si>
  <si>
    <t>(억원)</t>
    <phoneticPr fontId="2" type="noConversion"/>
  </si>
  <si>
    <t>FCF</t>
    <phoneticPr fontId="2" type="noConversion"/>
  </si>
  <si>
    <t>부채기업 베타(B_L)</t>
    <phoneticPr fontId="2" type="noConversion"/>
  </si>
  <si>
    <t>부채비율</t>
    <phoneticPr fontId="2" type="noConversion"/>
  </si>
  <si>
    <t>한계법인세율</t>
    <phoneticPr fontId="2" type="noConversion"/>
  </si>
  <si>
    <t>무부채기업 베타(B_U)</t>
    <phoneticPr fontId="2" type="noConversion"/>
  </si>
  <si>
    <t>무위험수익률(%)</t>
    <phoneticPr fontId="2" type="noConversion"/>
  </si>
  <si>
    <t>위험프리미엄(%)</t>
    <phoneticPr fontId="2" type="noConversion"/>
  </si>
  <si>
    <t>무부채기업 자기자본비용(R_U)</t>
    <phoneticPr fontId="2" type="noConversion"/>
  </si>
  <si>
    <t>A003490</t>
  </si>
  <si>
    <t>A020560</t>
  </si>
  <si>
    <t>A089590</t>
  </si>
  <si>
    <t>A272450</t>
  </si>
  <si>
    <t>A091810</t>
  </si>
  <si>
    <t>A298690</t>
  </si>
  <si>
    <t>대한항공</t>
  </si>
  <si>
    <t>아시아나항공</t>
  </si>
  <si>
    <t>제주항공</t>
  </si>
  <si>
    <t>진에어</t>
  </si>
  <si>
    <t>티웨이항공</t>
  </si>
  <si>
    <t>에어부산</t>
  </si>
  <si>
    <t>KRW 100mn</t>
  </si>
  <si>
    <t xml:space="preserve">   P/E</t>
  </si>
  <si>
    <t xml:space="preserve">   P/B</t>
  </si>
  <si>
    <t xml:space="preserve">   P/매출</t>
  </si>
  <si>
    <t xml:space="preserve">   EV/매출</t>
  </si>
  <si>
    <t xml:space="preserve">   EV/EBITDA</t>
  </si>
  <si>
    <t>기업가치평가</t>
  </si>
  <si>
    <t xml:space="preserve">   배당수익률 (Comm.,Cash)</t>
  </si>
  <si>
    <t>주가 및 기업가치평가</t>
  </si>
  <si>
    <t>Symbol</t>
  </si>
  <si>
    <t>Symbol Name</t>
  </si>
  <si>
    <t>Kind</t>
  </si>
  <si>
    <t>NVAL-IFRS(C)</t>
  </si>
  <si>
    <t>NFCF-IFRS(C)</t>
  </si>
  <si>
    <t>CON</t>
  </si>
  <si>
    <t>Item</t>
  </si>
  <si>
    <t>F730011500</t>
  </si>
  <si>
    <t>F730011810</t>
  </si>
  <si>
    <t>F730011820</t>
  </si>
  <si>
    <t>Item Name</t>
  </si>
  <si>
    <t>Frequency</t>
  </si>
  <si>
    <t>ANNUAL</t>
  </si>
  <si>
    <t>2025(ANNUAL)</t>
  </si>
  <si>
    <t>N/A</t>
  </si>
  <si>
    <t>PER(배)</t>
  </si>
  <si>
    <t>PSR(배)</t>
  </si>
  <si>
    <t>PBR(배)</t>
  </si>
  <si>
    <t>EV/EBITDA(배)</t>
  </si>
  <si>
    <t>P/EBITDAPS(배)</t>
  </si>
  <si>
    <t>EPS(원)</t>
  </si>
  <si>
    <t>BPS(원)</t>
  </si>
  <si>
    <t>SPS(원)</t>
  </si>
  <si>
    <t>EBITDA(천원)</t>
  </si>
  <si>
    <t>EPS (E3)(원)</t>
  </si>
  <si>
    <t>BPS (E3)(원)</t>
  </si>
  <si>
    <t>SPS (E3)(원)</t>
  </si>
  <si>
    <t>Multiple</t>
    <phoneticPr fontId="2" type="noConversion"/>
  </si>
  <si>
    <t>PER</t>
    <phoneticPr fontId="2" type="noConversion"/>
  </si>
  <si>
    <t>PSR</t>
    <phoneticPr fontId="2" type="noConversion"/>
  </si>
  <si>
    <t>PBR</t>
    <phoneticPr fontId="2" type="noConversion"/>
  </si>
  <si>
    <t>P/EBITDAPS</t>
    <phoneticPr fontId="2" type="noConversion"/>
  </si>
  <si>
    <t>평균값</t>
    <phoneticPr fontId="2" type="noConversion"/>
  </si>
  <si>
    <t>주당지표</t>
    <phoneticPr fontId="2" type="noConversion"/>
  </si>
  <si>
    <t>EPS(E3)</t>
  </si>
  <si>
    <t>EPS(E3)</t>
    <phoneticPr fontId="2" type="noConversion"/>
  </si>
  <si>
    <t>SPS(E3)</t>
  </si>
  <si>
    <t>SPS(E3)</t>
    <phoneticPr fontId="2" type="noConversion"/>
  </si>
  <si>
    <t>BPS(E3)</t>
  </si>
  <si>
    <t>BPS(E3)</t>
    <phoneticPr fontId="2" type="noConversion"/>
  </si>
  <si>
    <t>EBITDAPS(E3)</t>
    <phoneticPr fontId="2" type="noConversion"/>
  </si>
  <si>
    <t>추정치</t>
    <phoneticPr fontId="2" type="noConversion"/>
  </si>
  <si>
    <t>추정주가</t>
    <phoneticPr fontId="2" type="noConversion"/>
  </si>
  <si>
    <t>자기자본비용(Re)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</si>
</sst>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#,##0.00_ ;[Red]\-#,##0.00\ "/>
    <numFmt numFmtId="178" formatCode="#,##0.000_ ;[Red]\-#,##0.000\ "/>
    <numFmt numFmtId="179" formatCode="#,##0.000000"/>
    <numFmt numFmtId="180" formatCode="###,##0.000"/>
    <numFmt numFmtId="181" formatCode="#,##0_ "/>
    <numFmt numFmtId="182" formatCode="#,##0.00_ "/>
    <numFmt numFmtId="183" formatCode="0.000"/>
    <numFmt numFmtId="184" formatCode="\'yy\/mm\/dd"/>
    <numFmt numFmtId="185" formatCode="yyyy\-mm\-dd"/>
    <numFmt numFmtId="186" formatCode="###,##0.00"/>
  </numFmts>
  <fonts count="2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  <font>
      <sz val="12"/>
      <color theme="3" tint="0.249977111117893"/>
      <name val="맑은 고딕"/>
      <family val="2"/>
      <charset val="129"/>
      <scheme val="minor"/>
    </font>
    <font>
      <sz val="9"/>
      <color rgb="FF000000"/>
      <name val="Arial"/>
      <family val="2"/>
    </font>
    <font>
      <sz val="9"/>
      <color theme="1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12"/>
      <name val="맑은 고딕"/>
      <family val="2"/>
      <charset val="129"/>
      <scheme val="minor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b/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000000"/>
      <name val="Arial"/>
      <family val="2"/>
    </font>
    <font>
      <sz val="8"/>
      <color rgb="FFFFFFFF"/>
      <name val="Arial"/>
      <family val="2"/>
    </font>
    <font>
      <b/>
      <sz val="8"/>
      <color rgb="FF333399"/>
      <name val="Arial"/>
      <family val="2"/>
    </font>
    <font>
      <b/>
      <sz val="9"/>
      <color rgb="FF01185F"/>
      <name val="Arial"/>
      <family val="2"/>
    </font>
    <font>
      <sz val="8"/>
      <color rgb="FF333399"/>
      <name val="Arial"/>
      <family val="2"/>
    </font>
    <font>
      <sz val="9"/>
      <color rgb="FF01185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rgb="FF000000"/>
      </patternFill>
    </fill>
    <fill>
      <patternFill patternType="solid">
        <fgColor rgb="FFABC3D6"/>
        <bgColor rgb="FF000000"/>
      </patternFill>
    </fill>
    <fill>
      <patternFill patternType="solid">
        <fgColor rgb="FFD1DFF3"/>
        <bgColor rgb="FF000000"/>
      </patternFill>
    </fill>
    <fill>
      <patternFill patternType="solid">
        <fgColor rgb="FF87AAC5"/>
        <bgColor rgb="FF000000"/>
      </patternFill>
    </fill>
    <fill>
      <patternFill patternType="solid">
        <fgColor rgb="FFEBEBEB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theme="9" tint="0.59999389629810485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A6A6A6"/>
      </bottom>
      <diagonal/>
    </border>
    <border>
      <left/>
      <right style="thin">
        <color indexed="64"/>
      </right>
      <top style="thin">
        <color indexed="64"/>
      </top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rgb="FFA6A6A6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</cellStyleXfs>
  <cellXfs count="111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0" borderId="3" xfId="0" applyBorder="1">
      <alignment vertical="center"/>
    </xf>
    <xf numFmtId="0" fontId="0" fillId="0" borderId="3" xfId="3" applyFont="1" applyBorder="1">
      <alignment vertical="center"/>
    </xf>
    <xf numFmtId="10" fontId="0" fillId="0" borderId="3" xfId="1" applyNumberFormat="1" applyFont="1" applyBorder="1">
      <alignment vertical="center"/>
    </xf>
    <xf numFmtId="10" fontId="7" fillId="0" borderId="3" xfId="1" applyNumberFormat="1" applyFont="1" applyBorder="1">
      <alignment vertical="center"/>
    </xf>
    <xf numFmtId="10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0" fontId="0" fillId="2" borderId="3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4" borderId="3" xfId="0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8" fontId="5" fillId="0" borderId="0" xfId="0" applyNumberFormat="1" applyFont="1">
      <alignment vertical="center"/>
    </xf>
    <xf numFmtId="14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>
      <alignment vertical="center"/>
    </xf>
    <xf numFmtId="0" fontId="5" fillId="5" borderId="2" xfId="0" applyFont="1" applyFill="1" applyBorder="1" applyAlignment="1">
      <alignment horizontal="center" vertical="center"/>
    </xf>
    <xf numFmtId="179" fontId="5" fillId="3" borderId="5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77" fontId="5" fillId="2" borderId="0" xfId="0" applyNumberFormat="1" applyFont="1" applyFill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0" borderId="0" xfId="4" applyFont="1">
      <alignment vertical="center"/>
    </xf>
    <xf numFmtId="0" fontId="0" fillId="7" borderId="3" xfId="0" applyFill="1" applyBorder="1">
      <alignment vertical="center"/>
    </xf>
    <xf numFmtId="10" fontId="0" fillId="8" borderId="3" xfId="1" applyNumberFormat="1" applyFont="1" applyFill="1" applyBorder="1">
      <alignment vertical="center"/>
    </xf>
    <xf numFmtId="10" fontId="0" fillId="8" borderId="3" xfId="0" applyNumberFormat="1" applyFill="1" applyBorder="1">
      <alignment vertical="center"/>
    </xf>
    <xf numFmtId="0" fontId="0" fillId="2" borderId="3" xfId="0" applyFill="1" applyBorder="1">
      <alignment vertical="center"/>
    </xf>
    <xf numFmtId="10" fontId="0" fillId="9" borderId="3" xfId="0" applyNumberFormat="1" applyFill="1" applyBorder="1">
      <alignment vertical="center"/>
    </xf>
    <xf numFmtId="0" fontId="11" fillId="4" borderId="3" xfId="0" applyFont="1" applyFill="1" applyBorder="1" applyAlignment="1">
      <alignment horizontal="right" vertical="center"/>
    </xf>
    <xf numFmtId="9" fontId="0" fillId="0" borderId="3" xfId="0" applyNumberForma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left" vertical="center"/>
    </xf>
    <xf numFmtId="0" fontId="13" fillId="11" borderId="6" xfId="0" applyFont="1" applyFill="1" applyBorder="1" applyAlignment="1">
      <alignment horizontal="left" vertical="center"/>
    </xf>
    <xf numFmtId="180" fontId="5" fillId="3" borderId="5" xfId="0" applyNumberFormat="1" applyFont="1" applyFill="1" applyBorder="1" applyAlignment="1">
      <alignment horizontal="right" vertical="center"/>
    </xf>
    <xf numFmtId="180" fontId="5" fillId="12" borderId="5" xfId="0" applyNumberFormat="1" applyFont="1" applyFill="1" applyBorder="1" applyAlignment="1">
      <alignment horizontal="right" vertical="center"/>
    </xf>
    <xf numFmtId="0" fontId="5" fillId="3" borderId="5" xfId="1" applyNumberFormat="1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center" vertical="center"/>
    </xf>
    <xf numFmtId="176" fontId="0" fillId="0" borderId="3" xfId="4" applyFont="1" applyBorder="1">
      <alignment vertical="center"/>
    </xf>
    <xf numFmtId="181" fontId="0" fillId="0" borderId="3" xfId="4" applyNumberFormat="1" applyFont="1" applyBorder="1">
      <alignment vertical="center"/>
    </xf>
    <xf numFmtId="182" fontId="0" fillId="0" borderId="3" xfId="4" applyNumberFormat="1" applyFont="1" applyBorder="1">
      <alignment vertical="center"/>
    </xf>
    <xf numFmtId="181" fontId="0" fillId="0" borderId="11" xfId="4" applyNumberFormat="1" applyFont="1" applyBorder="1">
      <alignment vertical="center"/>
    </xf>
    <xf numFmtId="181" fontId="0" fillId="0" borderId="7" xfId="4" applyNumberFormat="1" applyFont="1" applyBorder="1" applyAlignment="1">
      <alignment vertical="center"/>
    </xf>
    <xf numFmtId="1" fontId="0" fillId="0" borderId="0" xfId="0" applyNumberFormat="1">
      <alignment vertical="center"/>
    </xf>
    <xf numFmtId="10" fontId="0" fillId="9" borderId="3" xfId="1" applyNumberFormat="1" applyFont="1" applyFill="1" applyBorder="1">
      <alignment vertical="center"/>
    </xf>
    <xf numFmtId="183" fontId="0" fillId="8" borderId="3" xfId="0" applyNumberFormat="1" applyFill="1" applyBorder="1">
      <alignment vertical="center"/>
    </xf>
    <xf numFmtId="181" fontId="0" fillId="0" borderId="3" xfId="0" applyNumberFormat="1" applyBorder="1">
      <alignment vertical="center"/>
    </xf>
    <xf numFmtId="181" fontId="0" fillId="0" borderId="3" xfId="4" applyNumberFormat="1" applyFont="1" applyBorder="1" applyAlignment="1">
      <alignment vertical="center"/>
    </xf>
    <xf numFmtId="0" fontId="15" fillId="0" borderId="0" xfId="5" applyFont="1" applyFill="1" applyBorder="1" applyAlignment="1">
      <alignment horizontal="right" vertical="center"/>
    </xf>
    <xf numFmtId="40" fontId="3" fillId="0" borderId="0" xfId="5" applyNumberFormat="1" applyFont="1" applyFill="1" applyBorder="1" applyAlignment="1">
      <alignment horizontal="right" vertical="center"/>
    </xf>
    <xf numFmtId="177" fontId="15" fillId="0" borderId="0" xfId="5" applyNumberFormat="1" applyFont="1" applyFill="1" applyBorder="1" applyAlignment="1">
      <alignment horizontal="right" vertical="center"/>
    </xf>
    <xf numFmtId="177" fontId="15" fillId="0" borderId="1" xfId="5" applyNumberFormat="1" applyFont="1" applyFill="1" applyBorder="1" applyAlignment="1">
      <alignment horizontal="right" vertical="center"/>
    </xf>
    <xf numFmtId="40" fontId="3" fillId="0" borderId="1" xfId="5" applyNumberFormat="1" applyFont="1" applyFill="1" applyBorder="1" applyAlignment="1">
      <alignment horizontal="right" vertical="center"/>
    </xf>
    <xf numFmtId="0" fontId="16" fillId="13" borderId="0" xfId="5" applyFont="1" applyFill="1" applyBorder="1" applyAlignment="1">
      <alignment vertical="center"/>
    </xf>
    <xf numFmtId="0" fontId="15" fillId="13" borderId="0" xfId="5" applyFont="1" applyFill="1" applyBorder="1" applyAlignment="1">
      <alignment vertical="center"/>
    </xf>
    <xf numFmtId="0" fontId="15" fillId="13" borderId="1" xfId="5" applyFont="1" applyFill="1" applyBorder="1" applyAlignment="1">
      <alignment vertical="center"/>
    </xf>
    <xf numFmtId="0" fontId="17" fillId="14" borderId="4" xfId="5" applyFont="1" applyFill="1" applyBorder="1" applyAlignment="1">
      <alignment horizontal="left" vertical="center" indent="1"/>
    </xf>
    <xf numFmtId="0" fontId="15" fillId="14" borderId="4" xfId="5" applyFont="1" applyFill="1" applyBorder="1" applyAlignment="1">
      <alignment vertical="center"/>
    </xf>
    <xf numFmtId="0" fontId="15" fillId="14" borderId="4" xfId="5" applyFont="1" applyFill="1" applyBorder="1" applyAlignment="1">
      <alignment horizontal="right" vertical="center"/>
    </xf>
    <xf numFmtId="0" fontId="18" fillId="14" borderId="4" xfId="5" applyFont="1" applyFill="1" applyBorder="1" applyAlignment="1">
      <alignment horizontal="right" vertical="center" indent="1"/>
    </xf>
    <xf numFmtId="0" fontId="19" fillId="15" borderId="0" xfId="5" applyFont="1" applyFill="1" applyBorder="1" applyAlignment="1">
      <alignment horizontal="left" vertical="center"/>
    </xf>
    <xf numFmtId="0" fontId="15" fillId="15" borderId="0" xfId="5" applyFont="1" applyFill="1" applyBorder="1" applyAlignment="1">
      <alignment vertical="center"/>
    </xf>
    <xf numFmtId="0" fontId="16" fillId="15" borderId="0" xfId="5" applyFont="1" applyFill="1" applyBorder="1" applyAlignment="1">
      <alignment horizontal="center" vertical="center"/>
    </xf>
    <xf numFmtId="0" fontId="20" fillId="15" borderId="0" xfId="5" applyFont="1" applyFill="1" applyBorder="1" applyAlignment="1">
      <alignment horizontal="right" vertical="center" wrapText="1"/>
    </xf>
    <xf numFmtId="0" fontId="19" fillId="15" borderId="0" xfId="5" applyFont="1" applyFill="1" applyBorder="1" applyAlignment="1">
      <alignment horizontal="center" vertical="center"/>
    </xf>
    <xf numFmtId="0" fontId="20" fillId="15" borderId="0" xfId="5" applyFont="1" applyFill="1" applyBorder="1" applyAlignment="1">
      <alignment vertical="top" shrinkToFit="1"/>
    </xf>
    <xf numFmtId="0" fontId="21" fillId="15" borderId="0" xfId="5" applyFont="1" applyFill="1" applyBorder="1" applyAlignment="1">
      <alignment horizontal="left" vertical="center"/>
    </xf>
    <xf numFmtId="0" fontId="21" fillId="15" borderId="0" xfId="5" applyFont="1" applyFill="1" applyBorder="1" applyAlignment="1">
      <alignment horizontal="center" vertical="center"/>
    </xf>
    <xf numFmtId="0" fontId="15" fillId="15" borderId="0" xfId="5" applyFont="1" applyFill="1" applyBorder="1" applyAlignment="1">
      <alignment horizontal="center" vertical="center"/>
    </xf>
    <xf numFmtId="0" fontId="22" fillId="15" borderId="0" xfId="5" applyFont="1" applyFill="1" applyBorder="1" applyAlignment="1">
      <alignment horizontal="right" vertical="top" wrapText="1"/>
    </xf>
    <xf numFmtId="0" fontId="15" fillId="15" borderId="12" xfId="5" applyFont="1" applyFill="1" applyBorder="1" applyAlignment="1">
      <alignment vertical="center"/>
    </xf>
    <xf numFmtId="0" fontId="16" fillId="15" borderId="12" xfId="5" applyFont="1" applyFill="1" applyBorder="1" applyAlignment="1">
      <alignment horizontal="center" vertical="center"/>
    </xf>
    <xf numFmtId="184" fontId="22" fillId="15" borderId="12" xfId="5" applyNumberFormat="1" applyFont="1" applyFill="1" applyBorder="1" applyAlignment="1">
      <alignment horizontal="right" vertical="center"/>
    </xf>
    <xf numFmtId="0" fontId="8" fillId="16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right" vertical="center"/>
    </xf>
    <xf numFmtId="0" fontId="8" fillId="16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right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right" vertical="center"/>
    </xf>
    <xf numFmtId="185" fontId="8" fillId="17" borderId="0" xfId="0" applyNumberFormat="1" applyFont="1" applyFill="1" applyAlignment="1">
      <alignment horizontal="center" vertical="center"/>
    </xf>
    <xf numFmtId="186" fontId="8" fillId="18" borderId="0" xfId="0" applyNumberFormat="1" applyFont="1" applyFill="1" applyAlignment="1">
      <alignment horizontal="right" vertical="center"/>
    </xf>
    <xf numFmtId="186" fontId="8" fillId="0" borderId="0" xfId="0" applyNumberFormat="1" applyFont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8" fillId="18" borderId="0" xfId="0" applyNumberFormat="1" applyFont="1" applyFill="1" applyAlignment="1">
      <alignment horizontal="right" vertical="center"/>
    </xf>
    <xf numFmtId="185" fontId="8" fillId="17" borderId="13" xfId="0" applyNumberFormat="1" applyFont="1" applyFill="1" applyBorder="1" applyAlignment="1">
      <alignment horizontal="center" vertical="center"/>
    </xf>
    <xf numFmtId="186" fontId="8" fillId="18" borderId="13" xfId="0" applyNumberFormat="1" applyFont="1" applyFill="1" applyBorder="1" applyAlignment="1">
      <alignment horizontal="right" vertical="center"/>
    </xf>
    <xf numFmtId="186" fontId="8" fillId="0" borderId="13" xfId="0" applyNumberFormat="1" applyFont="1" applyBorder="1" applyAlignment="1">
      <alignment horizontal="right" vertical="center"/>
    </xf>
    <xf numFmtId="4" fontId="8" fillId="0" borderId="13" xfId="0" applyNumberFormat="1" applyFont="1" applyBorder="1" applyAlignment="1">
      <alignment horizontal="right" vertical="center"/>
    </xf>
    <xf numFmtId="4" fontId="8" fillId="18" borderId="13" xfId="0" applyNumberFormat="1" applyFont="1" applyFill="1" applyBorder="1" applyAlignment="1">
      <alignment horizontal="right" vertical="center"/>
    </xf>
    <xf numFmtId="186" fontId="0" fillId="0" borderId="0" xfId="0" applyNumberFormat="1">
      <alignment vertical="center"/>
    </xf>
    <xf numFmtId="186" fontId="8" fillId="19" borderId="0" xfId="0" applyNumberFormat="1" applyFont="1" applyFill="1" applyAlignment="1">
      <alignment horizontal="right" vertical="center"/>
    </xf>
    <xf numFmtId="186" fontId="8" fillId="19" borderId="13" xfId="0" applyNumberFormat="1" applyFont="1" applyFill="1" applyBorder="1" applyAlignment="1">
      <alignment horizontal="right" vertical="center"/>
    </xf>
    <xf numFmtId="4" fontId="8" fillId="7" borderId="0" xfId="0" applyNumberFormat="1" applyFont="1" applyFill="1" applyAlignment="1">
      <alignment horizontal="right" vertical="center"/>
    </xf>
    <xf numFmtId="4" fontId="8" fillId="19" borderId="0" xfId="0" applyNumberFormat="1" applyFont="1" applyFill="1" applyAlignment="1">
      <alignment horizontal="right" vertical="center"/>
    </xf>
    <xf numFmtId="4" fontId="0" fillId="0" borderId="0" xfId="0" applyNumberFormat="1">
      <alignment vertical="center"/>
    </xf>
    <xf numFmtId="40" fontId="3" fillId="7" borderId="0" xfId="5" applyNumberFormat="1" applyFont="1" applyFill="1" applyBorder="1" applyAlignment="1">
      <alignment horizontal="right" vertical="center"/>
    </xf>
    <xf numFmtId="40" fontId="0" fillId="0" borderId="0" xfId="0" applyNumberFormat="1">
      <alignment vertical="center"/>
    </xf>
    <xf numFmtId="181" fontId="0" fillId="0" borderId="7" xfId="4" applyNumberFormat="1" applyFont="1" applyBorder="1" applyAlignment="1">
      <alignment horizontal="center" vertical="center"/>
    </xf>
    <xf numFmtId="181" fontId="0" fillId="0" borderId="8" xfId="4" applyNumberFormat="1" applyFont="1" applyBorder="1" applyAlignment="1">
      <alignment horizontal="center" vertical="center"/>
    </xf>
    <xf numFmtId="181" fontId="0" fillId="0" borderId="9" xfId="4" applyNumberFormat="1" applyFont="1" applyBorder="1" applyAlignment="1">
      <alignment horizontal="center" vertical="center"/>
    </xf>
    <xf numFmtId="181" fontId="0" fillId="0" borderId="10" xfId="4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3" xfId="0" applyNumberFormat="1" applyBorder="1">
      <alignment vertical="center"/>
    </xf>
  </cellXfs>
  <cellStyles count="6">
    <cellStyle name="백분율" xfId="1" builtinId="5"/>
    <cellStyle name="쉼표 [0]" xfId="4" builtinId="6"/>
    <cellStyle name="표준" xfId="0" builtinId="0"/>
    <cellStyle name="표준 2" xfId="3" xr:uid="{804B345D-D39B-474F-9D13-16DE8BC1DCFE}"/>
    <cellStyle name="표준 2 2" xfId="2" xr:uid="{255AC87E-8397-4C49-A21B-B067873622E3}"/>
    <cellStyle name="표준_C1_Comparison1" xfId="5" xr:uid="{1D187375-1EDF-403F-B748-C462E432B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15BA-2E01-8343-952C-27331D7713A6}">
  <dimension ref="B2:P7"/>
  <sheetViews>
    <sheetView workbookViewId="0">
      <selection activeCell="C5" sqref="C5"/>
    </sheetView>
  </sheetViews>
  <sheetFormatPr defaultColWidth="11.5546875" defaultRowHeight="17.25"/>
  <cols>
    <col min="2" max="2" width="30.33203125" bestFit="1" customWidth="1"/>
    <col min="4" max="4" width="15" bestFit="1" customWidth="1"/>
  </cols>
  <sheetData>
    <row r="2" spans="2:16">
      <c r="B2" s="2" t="s">
        <v>15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16</v>
      </c>
    </row>
    <row r="3" spans="2:16">
      <c r="B3" s="2" t="s">
        <v>13</v>
      </c>
      <c r="C3" s="4">
        <v>3.6700000000000003E-2</v>
      </c>
      <c r="D3" s="4">
        <v>4.1099999999999998E-2</v>
      </c>
      <c r="E3" s="4">
        <v>2.76E-2</v>
      </c>
      <c r="F3" s="4">
        <v>3.5799999999999998E-2</v>
      </c>
      <c r="G3" s="4">
        <v>4.19E-2</v>
      </c>
      <c r="H3" s="4">
        <v>3.2500000000000001E-2</v>
      </c>
      <c r="I3" s="4">
        <v>3.5499999999999997E-2</v>
      </c>
      <c r="J3" s="4">
        <v>4.1000000000000002E-2</v>
      </c>
      <c r="K3" s="4">
        <v>2.6700000000000002E-2</v>
      </c>
      <c r="L3" s="4">
        <v>2.6800000000000001E-2</v>
      </c>
      <c r="M3" s="4">
        <v>3.8399999999999997E-2</v>
      </c>
      <c r="N3" s="4">
        <v>3.7499999999999999E-2</v>
      </c>
      <c r="O3" s="4">
        <v>2.2800000000000001E-2</v>
      </c>
      <c r="P3" s="2"/>
    </row>
    <row r="4" spans="2:16">
      <c r="B4" s="2" t="s">
        <v>14</v>
      </c>
      <c r="C4" s="5">
        <v>5.6882821387940839E-2</v>
      </c>
      <c r="D4" s="5">
        <v>2.844141069397042E-2</v>
      </c>
      <c r="E4" s="5">
        <v>4.778156996587031E-2</v>
      </c>
      <c r="F4" s="5">
        <v>4.778156996587031E-2</v>
      </c>
      <c r="G4" s="5">
        <v>0.13196814562002276</v>
      </c>
      <c r="H4" s="5">
        <v>8.5324232081911269E-2</v>
      </c>
      <c r="I4" s="5">
        <v>5.1194539249146756E-2</v>
      </c>
      <c r="J4" s="5">
        <v>0.11945392491467577</v>
      </c>
      <c r="K4" s="5">
        <v>7.3947667804323089E-2</v>
      </c>
      <c r="L4" s="5">
        <v>6.8259385665529013E-2</v>
      </c>
      <c r="M4" s="5">
        <v>4.5506257110352673E-2</v>
      </c>
      <c r="N4" s="5">
        <v>7.2810011376564274E-2</v>
      </c>
      <c r="O4" s="5">
        <v>0.17064846416382254</v>
      </c>
      <c r="P4" s="5">
        <v>0.99999999999999989</v>
      </c>
    </row>
    <row r="5" spans="2:16">
      <c r="B5" t="s">
        <v>17</v>
      </c>
      <c r="C5" s="1">
        <v>3.3500000000000002E-2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"/>
    </row>
    <row r="6" spans="2:16">
      <c r="B6" t="s">
        <v>18</v>
      </c>
      <c r="C6" s="6">
        <v>4.1779999999999998E-2</v>
      </c>
    </row>
    <row r="7" spans="2:16">
      <c r="B7" t="s">
        <v>19</v>
      </c>
      <c r="C7" s="6">
        <v>4.9299999999999997E-2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3990-45F7-0C4A-8989-4F7507E8A5BC}">
  <dimension ref="B2:R32"/>
  <sheetViews>
    <sheetView workbookViewId="0">
      <selection activeCell="D5" sqref="D4:D5"/>
    </sheetView>
  </sheetViews>
  <sheetFormatPr defaultColWidth="11.5546875" defaultRowHeight="17.25"/>
  <cols>
    <col min="2" max="2" width="14.44140625" bestFit="1" customWidth="1"/>
    <col min="3" max="3" width="11.5546875" bestFit="1" customWidth="1"/>
    <col min="4" max="4" width="16" bestFit="1" customWidth="1"/>
  </cols>
  <sheetData>
    <row r="2" spans="2:18">
      <c r="B2" s="8" t="s">
        <v>20</v>
      </c>
      <c r="C2" s="8" t="s">
        <v>21</v>
      </c>
      <c r="D2" s="8" t="s">
        <v>24</v>
      </c>
      <c r="E2" s="8" t="s">
        <v>70</v>
      </c>
      <c r="F2" s="25"/>
    </row>
    <row r="3" spans="2:18">
      <c r="B3" s="9">
        <v>0.21029999999999999</v>
      </c>
      <c r="C3" s="9">
        <v>0.13300000000000001</v>
      </c>
      <c r="D3" s="12">
        <v>750</v>
      </c>
      <c r="E3" s="35" t="s">
        <v>71</v>
      </c>
      <c r="F3" s="25"/>
      <c r="Q3" t="s">
        <v>54</v>
      </c>
      <c r="R3">
        <v>750</v>
      </c>
    </row>
    <row r="4" spans="2:18">
      <c r="B4" s="10" t="s">
        <v>22</v>
      </c>
      <c r="C4" s="13" t="s">
        <v>25</v>
      </c>
      <c r="D4" s="2" t="s">
        <v>177</v>
      </c>
      <c r="Q4" t="s">
        <v>55</v>
      </c>
      <c r="R4">
        <f>R3*(1+0.105)</f>
        <v>828.75</v>
      </c>
    </row>
    <row r="5" spans="2:18">
      <c r="B5" s="11">
        <f>C3*(1-B3)</f>
        <v>0.10503010000000002</v>
      </c>
      <c r="C5" s="34">
        <v>22850</v>
      </c>
      <c r="D5" s="110">
        <f>((D3*1.105)/C5)+B5</f>
        <v>0.14129924660831511</v>
      </c>
      <c r="Q5" t="s">
        <v>56</v>
      </c>
      <c r="R5" s="26">
        <f>R4*(1.105)</f>
        <v>915.76874999999995</v>
      </c>
    </row>
    <row r="6" spans="2:18">
      <c r="Q6" t="s">
        <v>57</v>
      </c>
      <c r="R6" s="26">
        <f>R5*1.105</f>
        <v>1011.92446875</v>
      </c>
    </row>
    <row r="7" spans="2:18">
      <c r="C7">
        <v>2020</v>
      </c>
      <c r="D7">
        <v>2021</v>
      </c>
      <c r="E7">
        <v>2022</v>
      </c>
      <c r="F7">
        <v>2023</v>
      </c>
      <c r="G7">
        <v>2024</v>
      </c>
      <c r="H7">
        <v>2025</v>
      </c>
      <c r="I7" t="s">
        <v>59</v>
      </c>
      <c r="Q7" t="s">
        <v>58</v>
      </c>
    </row>
    <row r="8" spans="2:18">
      <c r="B8" t="s">
        <v>23</v>
      </c>
      <c r="C8">
        <v>-0.7</v>
      </c>
      <c r="D8">
        <v>4.5999999999999996</v>
      </c>
      <c r="E8">
        <v>2.7</v>
      </c>
      <c r="F8">
        <v>1.4</v>
      </c>
      <c r="G8">
        <v>2</v>
      </c>
      <c r="H8">
        <v>2</v>
      </c>
      <c r="I8" s="48">
        <f>AVERAGE(C8:H8)</f>
        <v>2</v>
      </c>
    </row>
    <row r="10" spans="2:18">
      <c r="B10" s="14" t="s">
        <v>26</v>
      </c>
      <c r="C10" s="14" t="s">
        <v>27</v>
      </c>
      <c r="D10" s="14" t="s">
        <v>28</v>
      </c>
      <c r="E10" s="14" t="s">
        <v>29</v>
      </c>
      <c r="F10" s="14" t="s">
        <v>30</v>
      </c>
      <c r="G10" s="14" t="s">
        <v>31</v>
      </c>
      <c r="H10" s="14" t="s">
        <v>32</v>
      </c>
      <c r="I10" s="14" t="s">
        <v>33</v>
      </c>
      <c r="J10" s="14" t="s">
        <v>34</v>
      </c>
      <c r="K10" s="14" t="s">
        <v>35</v>
      </c>
      <c r="L10" s="14" t="s">
        <v>36</v>
      </c>
      <c r="M10" s="14" t="s">
        <v>37</v>
      </c>
      <c r="N10" s="14" t="s">
        <v>38</v>
      </c>
      <c r="O10" s="14" t="s">
        <v>39</v>
      </c>
    </row>
    <row r="11" spans="2:18">
      <c r="B11" s="15" t="s">
        <v>40</v>
      </c>
      <c r="C11" s="15" t="s">
        <v>41</v>
      </c>
      <c r="D11" s="15" t="s">
        <v>41</v>
      </c>
      <c r="E11" s="15" t="s">
        <v>41</v>
      </c>
      <c r="F11" s="15" t="s">
        <v>41</v>
      </c>
      <c r="G11" s="15" t="s">
        <v>41</v>
      </c>
      <c r="H11" s="15" t="s">
        <v>41</v>
      </c>
      <c r="I11" s="15" t="s">
        <v>41</v>
      </c>
      <c r="J11" s="15" t="s">
        <v>41</v>
      </c>
      <c r="K11" s="15" t="s">
        <v>41</v>
      </c>
      <c r="L11" s="15" t="s">
        <v>41</v>
      </c>
      <c r="M11" s="15" t="s">
        <v>41</v>
      </c>
      <c r="N11" s="15" t="s">
        <v>41</v>
      </c>
      <c r="O11" s="15" t="s">
        <v>41</v>
      </c>
    </row>
    <row r="12" spans="2:18">
      <c r="B12" s="16">
        <v>44196</v>
      </c>
      <c r="C12" s="17">
        <v>0.42499999999999999</v>
      </c>
      <c r="D12" s="17">
        <v>0.53</v>
      </c>
      <c r="E12" s="17">
        <v>0.59499999999999997</v>
      </c>
      <c r="F12" s="17">
        <v>0.65500000000000003</v>
      </c>
      <c r="G12" s="17">
        <v>0.8</v>
      </c>
      <c r="H12" s="17">
        <v>0.88700000000000001</v>
      </c>
      <c r="I12" s="17">
        <v>0.97499999999999998</v>
      </c>
      <c r="J12" s="17">
        <v>0.97</v>
      </c>
      <c r="K12" s="17">
        <v>1.335</v>
      </c>
      <c r="L12" s="17">
        <v>1.53</v>
      </c>
      <c r="M12" s="17">
        <v>1.722</v>
      </c>
      <c r="N12" s="17">
        <v>1.8320000000000001</v>
      </c>
      <c r="O12" s="17">
        <v>1.8320000000000001</v>
      </c>
    </row>
    <row r="13" spans="2:18">
      <c r="B13" s="16">
        <v>44561</v>
      </c>
      <c r="C13" s="17">
        <v>1</v>
      </c>
      <c r="D13" s="17">
        <v>1.1499999999999999</v>
      </c>
      <c r="E13" s="17">
        <v>1.25</v>
      </c>
      <c r="F13" s="17">
        <v>1.355</v>
      </c>
      <c r="G13" s="17">
        <v>1.55</v>
      </c>
      <c r="H13" s="17">
        <v>1.6719999999999999</v>
      </c>
      <c r="I13" s="17">
        <v>1.7450000000000001</v>
      </c>
      <c r="J13" s="17">
        <v>1.7949999999999999</v>
      </c>
      <c r="K13" s="17">
        <v>2.0070000000000001</v>
      </c>
      <c r="L13" s="17">
        <v>2.1949999999999998</v>
      </c>
      <c r="M13" s="17">
        <v>2.2549999999999999</v>
      </c>
      <c r="N13" s="17">
        <v>2.335</v>
      </c>
      <c r="O13" s="17">
        <v>2.3149999999999999</v>
      </c>
    </row>
    <row r="14" spans="2:18">
      <c r="B14" s="16">
        <v>44925</v>
      </c>
      <c r="C14" s="17">
        <v>3.67</v>
      </c>
      <c r="D14" s="17">
        <v>3.73</v>
      </c>
      <c r="E14" s="17">
        <v>3.7650000000000001</v>
      </c>
      <c r="F14" s="17">
        <v>3.75</v>
      </c>
      <c r="G14" s="17">
        <v>3.76</v>
      </c>
      <c r="H14" s="17">
        <v>3.78</v>
      </c>
      <c r="I14" s="17">
        <v>3.7650000000000001</v>
      </c>
      <c r="J14" s="17">
        <v>3.7250000000000001</v>
      </c>
      <c r="K14" s="17">
        <v>3.7370000000000001</v>
      </c>
      <c r="L14" s="17">
        <v>3.7869999999999999</v>
      </c>
      <c r="M14" s="17">
        <v>3.7349999999999999</v>
      </c>
      <c r="N14" s="17">
        <v>3.68</v>
      </c>
      <c r="O14" s="17">
        <v>3.6819999999999999</v>
      </c>
    </row>
    <row r="15" spans="2:18">
      <c r="B15" s="16">
        <v>45289</v>
      </c>
      <c r="C15" s="17">
        <v>3.55</v>
      </c>
      <c r="D15" s="17">
        <v>3.47</v>
      </c>
      <c r="E15" s="17">
        <v>3.47</v>
      </c>
      <c r="F15" s="17">
        <v>3.4049999999999998</v>
      </c>
      <c r="G15" s="17">
        <v>3.4</v>
      </c>
      <c r="H15" s="17">
        <v>3.24</v>
      </c>
      <c r="I15" s="17">
        <v>3.1749999999999998</v>
      </c>
      <c r="J15" s="17">
        <v>3.145</v>
      </c>
      <c r="K15" s="17">
        <v>3.1549999999999998</v>
      </c>
      <c r="L15" s="17">
        <v>3.202</v>
      </c>
      <c r="M15" s="17">
        <v>3.1749999999999998</v>
      </c>
      <c r="N15" s="17">
        <v>3.0950000000000002</v>
      </c>
      <c r="O15" s="17">
        <v>3.08</v>
      </c>
    </row>
    <row r="16" spans="2:18">
      <c r="B16" s="16">
        <v>45657</v>
      </c>
      <c r="C16" s="17">
        <v>2.86</v>
      </c>
      <c r="D16" s="17">
        <v>2.79</v>
      </c>
      <c r="E16" s="17">
        <v>2.71</v>
      </c>
      <c r="F16" s="17">
        <v>2.7</v>
      </c>
      <c r="G16" s="17">
        <v>2.7349999999999999</v>
      </c>
      <c r="H16" s="17">
        <v>2.7650000000000001</v>
      </c>
      <c r="I16" s="17">
        <v>2.7120000000000002</v>
      </c>
      <c r="J16" s="17">
        <v>2.597</v>
      </c>
      <c r="K16" s="17">
        <v>2.7650000000000001</v>
      </c>
      <c r="L16" s="17">
        <v>2.98</v>
      </c>
      <c r="M16" s="17">
        <v>2.8719999999999999</v>
      </c>
      <c r="N16" s="17">
        <v>2.875</v>
      </c>
      <c r="O16" s="17">
        <v>2.7970000000000002</v>
      </c>
    </row>
    <row r="17" spans="2:15">
      <c r="B17" s="18">
        <v>45804</v>
      </c>
      <c r="C17" s="19">
        <v>2.41</v>
      </c>
      <c r="D17" s="19">
        <v>2.39</v>
      </c>
      <c r="E17" s="19">
        <v>2.38</v>
      </c>
      <c r="F17" s="19">
        <v>2.2599999999999998</v>
      </c>
      <c r="G17" s="19">
        <v>2.2999999999999998</v>
      </c>
      <c r="H17" s="19">
        <v>2.327</v>
      </c>
      <c r="I17" s="19">
        <v>2.335</v>
      </c>
      <c r="J17" s="19">
        <v>2.3319999999999999</v>
      </c>
      <c r="K17" s="19">
        <v>2.472</v>
      </c>
      <c r="L17" s="19">
        <v>2.63</v>
      </c>
      <c r="M17" s="19">
        <v>2.7050000000000001</v>
      </c>
      <c r="N17" s="19">
        <v>2.69</v>
      </c>
      <c r="O17" s="19">
        <v>2.585</v>
      </c>
    </row>
    <row r="19" spans="2:15">
      <c r="B19" s="20" t="s">
        <v>42</v>
      </c>
      <c r="C19" s="20" t="s">
        <v>43</v>
      </c>
      <c r="D19" s="20" t="s">
        <v>44</v>
      </c>
      <c r="E19" s="20" t="s">
        <v>45</v>
      </c>
      <c r="F19" s="20" t="s">
        <v>46</v>
      </c>
      <c r="G19" s="42" t="s">
        <v>47</v>
      </c>
    </row>
    <row r="20" spans="2:15">
      <c r="B20" s="21">
        <v>0.62783999999999995</v>
      </c>
      <c r="C20" s="21">
        <v>0.94215000000000004</v>
      </c>
      <c r="D20" s="21">
        <v>1.0066600000000001</v>
      </c>
      <c r="E20" s="21">
        <v>0.39144000000000001</v>
      </c>
      <c r="F20" s="21">
        <v>0.51797000000000004</v>
      </c>
      <c r="G20" s="21">
        <f>AVERAGE(B20:F20)</f>
        <v>0.69721200000000005</v>
      </c>
    </row>
    <row r="22" spans="2:15">
      <c r="B22" s="14" t="s">
        <v>26</v>
      </c>
      <c r="C22" s="14" t="s">
        <v>48</v>
      </c>
      <c r="D22" s="14" t="s">
        <v>49</v>
      </c>
      <c r="E22" s="14" t="s">
        <v>50</v>
      </c>
      <c r="F22" s="14" t="s">
        <v>51</v>
      </c>
    </row>
    <row r="23" spans="2:15">
      <c r="B23" s="15" t="s">
        <v>40</v>
      </c>
      <c r="C23" s="15" t="s">
        <v>40</v>
      </c>
      <c r="D23" s="15" t="s">
        <v>40</v>
      </c>
      <c r="E23" s="15" t="s">
        <v>41</v>
      </c>
      <c r="F23" s="15"/>
    </row>
    <row r="24" spans="2:15">
      <c r="B24" s="16">
        <v>44196</v>
      </c>
      <c r="C24" s="22">
        <v>20200102</v>
      </c>
      <c r="D24" s="22">
        <v>20201230</v>
      </c>
      <c r="E24" s="23">
        <v>30.75</v>
      </c>
      <c r="F24" s="24">
        <f>AVERAGE(E24:E28)</f>
        <v>3.7180000000000009</v>
      </c>
    </row>
    <row r="25" spans="2:15">
      <c r="B25" s="16">
        <v>44561</v>
      </c>
      <c r="C25" s="22">
        <v>20210104</v>
      </c>
      <c r="D25" s="22">
        <v>20211230</v>
      </c>
      <c r="E25" s="23">
        <v>3.63</v>
      </c>
    </row>
    <row r="26" spans="2:15">
      <c r="B26" s="16">
        <v>44926</v>
      </c>
      <c r="C26" s="22">
        <v>20220103</v>
      </c>
      <c r="D26" s="22">
        <v>20221229</v>
      </c>
      <c r="E26" s="23">
        <v>-24.89</v>
      </c>
    </row>
    <row r="27" spans="2:15">
      <c r="B27" s="16">
        <v>45291</v>
      </c>
      <c r="C27" s="22">
        <v>20230102</v>
      </c>
      <c r="D27" s="22">
        <v>20231228</v>
      </c>
      <c r="E27" s="23">
        <v>18.73</v>
      </c>
    </row>
    <row r="28" spans="2:15">
      <c r="B28" s="16">
        <v>45657</v>
      </c>
      <c r="C28" s="22">
        <v>20240102</v>
      </c>
      <c r="D28" s="22">
        <v>20241230</v>
      </c>
      <c r="E28" s="23">
        <v>-9.6300000000000008</v>
      </c>
    </row>
    <row r="30" spans="2:15">
      <c r="B30" t="s">
        <v>52</v>
      </c>
      <c r="C30" s="1">
        <f>0.0372-0.0277</f>
        <v>9.499999999999998E-3</v>
      </c>
    </row>
    <row r="31" spans="2:15">
      <c r="B31" t="s">
        <v>53</v>
      </c>
      <c r="C31" s="1">
        <f>0.0277+0.6972*0.0095</f>
        <v>3.4323399999999997E-2</v>
      </c>
    </row>
    <row r="32" spans="2:15">
      <c r="B32" t="s">
        <v>60</v>
      </c>
      <c r="C32" s="27">
        <v>0.02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474D-78EC-104D-B4E5-EE118D4F289A}">
  <dimension ref="B2:K15"/>
  <sheetViews>
    <sheetView tabSelected="1" topLeftCell="B1" zoomScale="115" zoomScaleNormal="115" workbookViewId="0">
      <selection activeCell="I14" sqref="I14:K15"/>
    </sheetView>
  </sheetViews>
  <sheetFormatPr defaultColWidth="11.5546875" defaultRowHeight="17.25"/>
  <cols>
    <col min="2" max="2" width="21.5546875" bestFit="1" customWidth="1"/>
    <col min="3" max="3" width="15" bestFit="1" customWidth="1"/>
  </cols>
  <sheetData>
    <row r="2" spans="2:11">
      <c r="B2" t="s">
        <v>61</v>
      </c>
      <c r="C2" t="s">
        <v>62</v>
      </c>
      <c r="D2" t="s">
        <v>63</v>
      </c>
    </row>
    <row r="3" spans="2:11">
      <c r="B3" s="28">
        <v>19425932297.93</v>
      </c>
      <c r="C3" s="28">
        <v>8329091</v>
      </c>
      <c r="D3">
        <v>24.7</v>
      </c>
    </row>
    <row r="5" spans="2:11">
      <c r="B5" s="29" t="s">
        <v>64</v>
      </c>
      <c r="C5" s="30">
        <f>B3/(B3+C3*1000)</f>
        <v>0.6999068993531995</v>
      </c>
    </row>
    <row r="6" spans="2:11">
      <c r="B6" s="29" t="s">
        <v>65</v>
      </c>
      <c r="C6" s="30">
        <f>(C3*1000)/(B3+(C3*1000))</f>
        <v>0.3000931006468005</v>
      </c>
    </row>
    <row r="7" spans="2:11">
      <c r="B7" s="29" t="s">
        <v>66</v>
      </c>
      <c r="C7" s="30">
        <v>3.3500000000000002E-2</v>
      </c>
    </row>
    <row r="8" spans="2:11">
      <c r="B8" s="29" t="s">
        <v>67</v>
      </c>
      <c r="C8" s="30">
        <v>3.4323399999999997E-2</v>
      </c>
    </row>
    <row r="9" spans="2:11">
      <c r="B9" s="29" t="s">
        <v>68</v>
      </c>
      <c r="C9" s="31">
        <v>0.247</v>
      </c>
    </row>
    <row r="11" spans="2:11">
      <c r="B11" s="32" t="s">
        <v>69</v>
      </c>
      <c r="C11" s="33">
        <f>(C6*C8)+(C5*C7*(1-C9))</f>
        <v>2.7955717020374526E-2</v>
      </c>
    </row>
    <row r="13" spans="2:11">
      <c r="B13" s="36" t="s">
        <v>72</v>
      </c>
      <c r="C13" s="20" t="s">
        <v>73</v>
      </c>
      <c r="D13" s="20" t="s">
        <v>74</v>
      </c>
      <c r="E13" s="20" t="s">
        <v>75</v>
      </c>
      <c r="F13" s="20" t="s">
        <v>76</v>
      </c>
      <c r="G13" s="20" t="s">
        <v>77</v>
      </c>
      <c r="H13" s="20" t="s">
        <v>78</v>
      </c>
      <c r="I13" s="20" t="s">
        <v>79</v>
      </c>
      <c r="J13" s="20" t="s">
        <v>80</v>
      </c>
      <c r="K13" s="20" t="s">
        <v>81</v>
      </c>
    </row>
    <row r="14" spans="2:11">
      <c r="B14" s="37" t="s">
        <v>82</v>
      </c>
      <c r="C14" s="39">
        <v>2.76</v>
      </c>
      <c r="D14" s="39">
        <v>6</v>
      </c>
      <c r="E14" s="39">
        <v>0.57999999999999996</v>
      </c>
      <c r="F14" s="39">
        <v>6.26</v>
      </c>
      <c r="G14" s="40">
        <v>26.4</v>
      </c>
      <c r="H14" s="40">
        <v>2.5499999999999998</v>
      </c>
      <c r="I14" s="40">
        <v>63.86</v>
      </c>
      <c r="J14" s="40">
        <v>36.14</v>
      </c>
      <c r="K14" s="39">
        <v>3.89</v>
      </c>
    </row>
    <row r="15" spans="2:11">
      <c r="B15" s="38" t="s">
        <v>83</v>
      </c>
      <c r="C15" s="39">
        <v>2.7650000000000001</v>
      </c>
      <c r="D15" s="41">
        <v>0.95</v>
      </c>
      <c r="E15" s="39">
        <v>0.69721200000000005</v>
      </c>
      <c r="F15" s="39">
        <v>3.4323399999999999</v>
      </c>
      <c r="G15" s="40">
        <v>24.7</v>
      </c>
      <c r="H15" s="40">
        <v>3.35</v>
      </c>
      <c r="I15" s="40">
        <v>69.990689935319907</v>
      </c>
      <c r="J15" s="40">
        <v>30.009310064680101</v>
      </c>
      <c r="K15" s="39">
        <v>2.7557120041192902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6475-6C63-6348-A051-94110D9C5932}">
  <dimension ref="B2:L18"/>
  <sheetViews>
    <sheetView workbookViewId="0">
      <selection activeCell="H16" sqref="D11:H16"/>
    </sheetView>
  </sheetViews>
  <sheetFormatPr defaultColWidth="11.5546875" defaultRowHeight="17.25"/>
  <cols>
    <col min="2" max="8" width="15.77734375" customWidth="1"/>
    <col min="10" max="10" width="27.5546875" bestFit="1" customWidth="1"/>
    <col min="11" max="11" width="21.44140625" bestFit="1" customWidth="1"/>
    <col min="12" max="12" width="10.109375" bestFit="1" customWidth="1"/>
  </cols>
  <sheetData>
    <row r="2" spans="2:12">
      <c r="B2" s="102" t="s">
        <v>93</v>
      </c>
      <c r="C2" s="103"/>
      <c r="D2" s="44" t="s">
        <v>84</v>
      </c>
      <c r="E2" s="44" t="s">
        <v>85</v>
      </c>
      <c r="F2" s="44" t="s">
        <v>69</v>
      </c>
      <c r="G2" s="44" t="s">
        <v>86</v>
      </c>
      <c r="H2" s="44" t="s">
        <v>87</v>
      </c>
      <c r="J2" s="2"/>
      <c r="K2" s="2"/>
      <c r="L2" s="2" t="s">
        <v>104</v>
      </c>
    </row>
    <row r="3" spans="2:12">
      <c r="B3" s="104"/>
      <c r="C3" s="105"/>
      <c r="D3" s="45">
        <v>0.76</v>
      </c>
      <c r="E3" s="45">
        <v>1.76</v>
      </c>
      <c r="F3" s="45">
        <v>2.76</v>
      </c>
      <c r="G3" s="45">
        <v>3.76</v>
      </c>
      <c r="H3" s="45">
        <v>4.76</v>
      </c>
      <c r="J3" s="2" t="s">
        <v>95</v>
      </c>
      <c r="K3" s="43">
        <v>2110200077994</v>
      </c>
      <c r="L3" s="51">
        <f>K3/100000000</f>
        <v>21102.000779940001</v>
      </c>
    </row>
    <row r="4" spans="2:12">
      <c r="B4" s="44" t="s">
        <v>88</v>
      </c>
      <c r="C4" s="44">
        <v>0</v>
      </c>
      <c r="D4" s="44">
        <f>L7/(D3-C4)</f>
        <v>-29986.919836296052</v>
      </c>
      <c r="E4" s="44">
        <f>$L$7/(E3-C4)</f>
        <v>-12948.897202036931</v>
      </c>
      <c r="F4" s="44">
        <f>$L$7/(F$3-$C4)</f>
        <v>-8257.267781009059</v>
      </c>
      <c r="G4" s="44">
        <f>L7/(G3-C4)</f>
        <v>-6061.1859243577128</v>
      </c>
      <c r="H4" s="44">
        <f>L7/(H3-C4)</f>
        <v>-4787.8275368876048</v>
      </c>
      <c r="J4" s="2" t="s">
        <v>96</v>
      </c>
      <c r="K4" s="43">
        <v>1796029925433</v>
      </c>
      <c r="L4" s="51">
        <f>K4/100000000</f>
        <v>17960.299254329999</v>
      </c>
    </row>
    <row r="5" spans="2:12">
      <c r="B5" s="44" t="s">
        <v>89</v>
      </c>
      <c r="C5" s="44">
        <v>1</v>
      </c>
      <c r="D5" s="47">
        <f>$L$7/($D$3-$C5)</f>
        <v>94958.57948160416</v>
      </c>
      <c r="E5" s="46">
        <f>$L$7/($E$3-$C5)</f>
        <v>-29986.919836296052</v>
      </c>
      <c r="F5" s="46">
        <f>$L$7/(F$3-C$5)</f>
        <v>-12948.897202036933</v>
      </c>
      <c r="G5" s="46">
        <f>L7/(G3-C5)</f>
        <v>-8257.267781009059</v>
      </c>
      <c r="H5" s="44">
        <f>L7/(H3-C5)</f>
        <v>-6061.1859243577128</v>
      </c>
      <c r="J5" s="2" t="s">
        <v>97</v>
      </c>
      <c r="K5" s="43">
        <v>10199604056820</v>
      </c>
      <c r="L5" s="51">
        <f>K5/100000000</f>
        <v>101996.0405682</v>
      </c>
    </row>
    <row r="6" spans="2:12">
      <c r="B6" s="44" t="s">
        <v>90</v>
      </c>
      <c r="C6" s="44">
        <v>2</v>
      </c>
      <c r="D6" s="47">
        <f t="shared" ref="D6:D8" si="0">$L$7/($D$3-$C6)</f>
        <v>18379.079899665321</v>
      </c>
      <c r="E6" s="46">
        <f t="shared" ref="E6:E8" si="1">$L$7/($E$3-$C6)</f>
        <v>94958.57948160416</v>
      </c>
      <c r="F6" s="44">
        <f>$L$7/($F$3-$C6)</f>
        <v>-29986.91983629606</v>
      </c>
      <c r="G6" s="44">
        <f>$L$7/(G$3-$C6)</f>
        <v>-12948.897202036933</v>
      </c>
      <c r="H6" s="44">
        <f>L7/(H3-C6)</f>
        <v>-8257.267781009059</v>
      </c>
      <c r="J6" s="2" t="s">
        <v>98</v>
      </c>
      <c r="K6" s="44">
        <v>-4541918165333</v>
      </c>
      <c r="L6" s="51">
        <f>K6/100000000</f>
        <v>-45419.181653330001</v>
      </c>
    </row>
    <row r="7" spans="2:12">
      <c r="B7" s="44" t="s">
        <v>91</v>
      </c>
      <c r="C7" s="44">
        <v>3</v>
      </c>
      <c r="D7" s="47">
        <f t="shared" si="0"/>
        <v>10174.133515886158</v>
      </c>
      <c r="E7" s="46">
        <f t="shared" si="1"/>
        <v>18379.079899665321</v>
      </c>
      <c r="F7" s="44">
        <f t="shared" ref="F7:F8" si="2">$L$7/($F$3-$C7)</f>
        <v>94958.579481604072</v>
      </c>
      <c r="G7" s="44">
        <f>L7/(G3-C7)</f>
        <v>-29986.91983629606</v>
      </c>
      <c r="H7" s="44">
        <f>L7/(H3-C7)</f>
        <v>-12948.897202036933</v>
      </c>
      <c r="J7" s="2" t="s">
        <v>105</v>
      </c>
      <c r="K7" s="44">
        <f>K3*(1-0.25)+K4-K5-K6</f>
        <v>-2279005907558.5</v>
      </c>
      <c r="L7" s="51">
        <f>K7/100000000</f>
        <v>-22790.059075584999</v>
      </c>
    </row>
    <row r="8" spans="2:12">
      <c r="B8" s="44" t="s">
        <v>92</v>
      </c>
      <c r="C8" s="44">
        <v>4</v>
      </c>
      <c r="D8" s="52">
        <f t="shared" si="0"/>
        <v>7033.9688504891965</v>
      </c>
      <c r="E8" s="44">
        <f t="shared" si="1"/>
        <v>10174.133515886158</v>
      </c>
      <c r="F8" s="44">
        <f t="shared" si="2"/>
        <v>18379.079899665317</v>
      </c>
      <c r="G8" s="44">
        <f>L7/(G3-C8)</f>
        <v>94958.579481604072</v>
      </c>
      <c r="H8" s="44">
        <f>L7/(H3-C8)</f>
        <v>-29986.91983629606</v>
      </c>
    </row>
    <row r="10" spans="2:12">
      <c r="B10" s="106" t="s">
        <v>94</v>
      </c>
      <c r="C10" s="107"/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103</v>
      </c>
      <c r="J10" s="29" t="s">
        <v>106</v>
      </c>
      <c r="K10" s="50">
        <v>0.69721200000000005</v>
      </c>
    </row>
    <row r="11" spans="2:12">
      <c r="B11" s="108"/>
      <c r="C11" s="109"/>
      <c r="D11" s="2">
        <v>1.01</v>
      </c>
      <c r="E11" s="2">
        <v>2.0099999999999998</v>
      </c>
      <c r="F11" s="2">
        <v>3.01</v>
      </c>
      <c r="G11" s="2">
        <v>4.01</v>
      </c>
      <c r="H11" s="2">
        <v>5.01</v>
      </c>
      <c r="J11" s="29" t="s">
        <v>107</v>
      </c>
      <c r="K11" s="30">
        <f>자본구조!C5/자본구조!C6</f>
        <v>2.3322992026296747</v>
      </c>
    </row>
    <row r="12" spans="2:12">
      <c r="B12" s="2" t="s">
        <v>88</v>
      </c>
      <c r="C12" s="2">
        <v>0</v>
      </c>
      <c r="D12" s="44">
        <f>$L$7/($D$11-$C12)</f>
        <v>-22564.414926321781</v>
      </c>
      <c r="E12" s="44">
        <f>$L$7/($E$11-$C12)</f>
        <v>-11338.337848549752</v>
      </c>
      <c r="F12" s="44">
        <f t="shared" ref="F12:F13" si="3">$L$7/($F$11-$C12)</f>
        <v>-7571.4481978687709</v>
      </c>
      <c r="G12" s="44">
        <f>$L$7/($G$11-$C12)</f>
        <v>-5683.3065026396507</v>
      </c>
      <c r="H12" s="44">
        <f>$L$7/($H$11-$C12)</f>
        <v>-4548.9139871427142</v>
      </c>
      <c r="J12" s="29" t="s">
        <v>108</v>
      </c>
      <c r="K12" s="31">
        <v>0.24740000000000001</v>
      </c>
    </row>
    <row r="13" spans="2:12">
      <c r="B13" s="2" t="s">
        <v>89</v>
      </c>
      <c r="C13" s="2">
        <v>1</v>
      </c>
      <c r="D13" s="44">
        <f t="shared" ref="D13:D16" si="4">$L$7/($D$11-$C13)</f>
        <v>-2279005.907558498</v>
      </c>
      <c r="E13" s="44">
        <f t="shared" ref="E13:E16" si="5">$L$7/($E$11-$C13)</f>
        <v>-22564.414926321784</v>
      </c>
      <c r="F13" s="44">
        <f t="shared" si="3"/>
        <v>-11338.337848549752</v>
      </c>
      <c r="G13" s="44">
        <f t="shared" ref="G13:G16" si="6">$L$7/($G$11-$C13)</f>
        <v>-7571.4481978687709</v>
      </c>
      <c r="H13" s="44">
        <f t="shared" ref="H13:H16" si="7">$L$7/($H$11-$C13)</f>
        <v>-5683.3065026396507</v>
      </c>
      <c r="J13" s="32" t="s">
        <v>109</v>
      </c>
      <c r="K13" s="49">
        <f>K10/(1+(1-K12)*K11)</f>
        <v>0.25304501883956487</v>
      </c>
    </row>
    <row r="14" spans="2:12">
      <c r="B14" s="2" t="s">
        <v>90</v>
      </c>
      <c r="C14" s="2">
        <v>2</v>
      </c>
      <c r="D14" s="44">
        <f t="shared" si="4"/>
        <v>23020.261692510099</v>
      </c>
      <c r="E14" s="44">
        <f t="shared" si="5"/>
        <v>-2279005.9075585483</v>
      </c>
      <c r="F14" s="44">
        <f>$L$7/($F$11-$C14)</f>
        <v>-22564.414926321784</v>
      </c>
      <c r="G14" s="44">
        <f t="shared" si="6"/>
        <v>-11338.337848549752</v>
      </c>
      <c r="H14" s="44">
        <f t="shared" si="7"/>
        <v>-7571.4481978687709</v>
      </c>
    </row>
    <row r="15" spans="2:12">
      <c r="B15" s="2" t="s">
        <v>91</v>
      </c>
      <c r="C15" s="2">
        <v>3</v>
      </c>
      <c r="D15" s="44">
        <f t="shared" si="4"/>
        <v>11452.290992756281</v>
      </c>
      <c r="E15" s="44">
        <f t="shared" si="5"/>
        <v>23020.261692510096</v>
      </c>
      <c r="F15" s="44">
        <f t="shared" ref="F15:F16" si="8">$L$7/($F$11-$C15)</f>
        <v>-2279005.9075585483</v>
      </c>
      <c r="G15" s="44">
        <f t="shared" si="6"/>
        <v>-22564.414926321784</v>
      </c>
      <c r="H15" s="44">
        <f t="shared" si="7"/>
        <v>-11338.337848549752</v>
      </c>
      <c r="J15" s="29" t="s">
        <v>110</v>
      </c>
      <c r="K15" s="30">
        <v>2.7650000000000001E-2</v>
      </c>
    </row>
    <row r="16" spans="2:12">
      <c r="B16" s="2" t="s">
        <v>92</v>
      </c>
      <c r="C16" s="2">
        <v>4</v>
      </c>
      <c r="D16" s="44">
        <f t="shared" si="4"/>
        <v>7622.093336316053</v>
      </c>
      <c r="E16" s="44">
        <f t="shared" si="5"/>
        <v>11452.29099275628</v>
      </c>
      <c r="F16" s="44">
        <f t="shared" si="8"/>
        <v>23020.261692510096</v>
      </c>
      <c r="G16" s="44">
        <f t="shared" si="6"/>
        <v>-2279005.9075585483</v>
      </c>
      <c r="H16" s="44">
        <f t="shared" si="7"/>
        <v>-22564.414926321784</v>
      </c>
      <c r="J16" s="29" t="s">
        <v>111</v>
      </c>
      <c r="K16" s="30">
        <v>9.4999999999999998E-3</v>
      </c>
    </row>
    <row r="17" spans="10:11">
      <c r="J17" s="32" t="s">
        <v>109</v>
      </c>
      <c r="K17" s="49">
        <f>K13</f>
        <v>0.25304501883956487</v>
      </c>
    </row>
    <row r="18" spans="10:11">
      <c r="J18" s="32" t="s">
        <v>112</v>
      </c>
      <c r="K18" s="49">
        <f>K15+K17*K16</f>
        <v>3.0053927678975866E-2</v>
      </c>
    </row>
  </sheetData>
  <mergeCells count="2">
    <mergeCell ref="B2:C3"/>
    <mergeCell ref="B10:C1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13A1-E071-4B1E-A8C4-37488C9F6A70}">
  <dimension ref="B2:O34"/>
  <sheetViews>
    <sheetView workbookViewId="0">
      <selection activeCell="I34" sqref="I34"/>
    </sheetView>
  </sheetViews>
  <sheetFormatPr defaultRowHeight="17.25"/>
  <cols>
    <col min="2" max="2" width="17.88671875" bestFit="1" customWidth="1"/>
    <col min="3" max="5" width="10" bestFit="1" customWidth="1"/>
    <col min="6" max="6" width="10.21875" bestFit="1" customWidth="1"/>
    <col min="7" max="7" width="11.33203125" bestFit="1" customWidth="1"/>
    <col min="8" max="10" width="10" bestFit="1" customWidth="1"/>
    <col min="11" max="11" width="12.21875" bestFit="1" customWidth="1"/>
    <col min="12" max="12" width="10.77734375" bestFit="1" customWidth="1"/>
    <col min="14" max="14" width="10.77734375" bestFit="1" customWidth="1"/>
  </cols>
  <sheetData>
    <row r="2" spans="2:15">
      <c r="B2" s="61" t="s">
        <v>133</v>
      </c>
      <c r="C2" s="62"/>
      <c r="D2" s="62"/>
      <c r="E2" s="62"/>
      <c r="F2" s="62"/>
      <c r="G2" s="62"/>
      <c r="H2" s="63"/>
      <c r="I2" s="62"/>
      <c r="J2" s="62"/>
      <c r="K2" s="64"/>
    </row>
    <row r="3" spans="2:15">
      <c r="B3" s="65"/>
      <c r="C3" s="66"/>
      <c r="D3" s="66"/>
      <c r="E3" s="67"/>
      <c r="F3" s="68" t="s">
        <v>113</v>
      </c>
      <c r="G3" s="68" t="s">
        <v>114</v>
      </c>
      <c r="H3" s="68" t="s">
        <v>115</v>
      </c>
      <c r="I3" s="68" t="s">
        <v>116</v>
      </c>
      <c r="J3" s="68" t="s">
        <v>117</v>
      </c>
      <c r="K3" s="68" t="s">
        <v>118</v>
      </c>
    </row>
    <row r="4" spans="2:15">
      <c r="B4" s="65"/>
      <c r="C4" s="65"/>
      <c r="D4" s="69"/>
      <c r="E4" s="67"/>
      <c r="F4" s="70" t="s">
        <v>119</v>
      </c>
      <c r="G4" s="70" t="s">
        <v>120</v>
      </c>
      <c r="H4" s="70" t="s">
        <v>121</v>
      </c>
      <c r="I4" s="70" t="s">
        <v>122</v>
      </c>
      <c r="J4" s="70" t="s">
        <v>123</v>
      </c>
      <c r="K4" s="70" t="s">
        <v>124</v>
      </c>
      <c r="M4" t="s">
        <v>168</v>
      </c>
      <c r="N4" t="s">
        <v>170</v>
      </c>
      <c r="O4" t="s">
        <v>172</v>
      </c>
    </row>
    <row r="5" spans="2:15">
      <c r="B5" s="71"/>
      <c r="C5" s="71"/>
      <c r="D5" s="72"/>
      <c r="E5" s="73"/>
      <c r="F5" s="74" t="s">
        <v>125</v>
      </c>
      <c r="G5" s="74" t="s">
        <v>125</v>
      </c>
      <c r="H5" s="74" t="s">
        <v>125</v>
      </c>
      <c r="I5" s="74" t="s">
        <v>125</v>
      </c>
      <c r="J5" s="74" t="s">
        <v>125</v>
      </c>
      <c r="K5" s="74" t="s">
        <v>125</v>
      </c>
      <c r="M5" s="99">
        <v>3364.33</v>
      </c>
      <c r="N5" s="99">
        <v>66025.23</v>
      </c>
      <c r="O5" s="99">
        <v>31107.61</v>
      </c>
    </row>
    <row r="6" spans="2:15">
      <c r="B6" s="75"/>
      <c r="C6" s="75"/>
      <c r="D6" s="75"/>
      <c r="E6" s="76"/>
      <c r="F6" s="77">
        <v>45821</v>
      </c>
      <c r="G6" s="77">
        <v>45821</v>
      </c>
      <c r="H6" s="77">
        <v>45821</v>
      </c>
      <c r="I6" s="77">
        <v>45821</v>
      </c>
      <c r="J6" s="77">
        <v>45821</v>
      </c>
      <c r="K6" s="77">
        <v>45821</v>
      </c>
    </row>
    <row r="7" spans="2:15">
      <c r="B7" s="58" t="s">
        <v>131</v>
      </c>
      <c r="C7" s="59"/>
      <c r="D7" s="59"/>
      <c r="E7" s="53"/>
      <c r="F7" s="54"/>
      <c r="G7" s="54"/>
      <c r="H7" s="54"/>
      <c r="I7" s="54"/>
      <c r="J7" s="54"/>
      <c r="K7" s="54"/>
      <c r="M7" t="s">
        <v>166</v>
      </c>
      <c r="N7" t="s">
        <v>176</v>
      </c>
    </row>
    <row r="8" spans="2:15">
      <c r="B8" s="59" t="s">
        <v>126</v>
      </c>
      <c r="C8" s="59"/>
      <c r="D8" s="59"/>
      <c r="E8" s="55"/>
      <c r="F8" s="54">
        <v>6.01</v>
      </c>
      <c r="G8" s="100"/>
      <c r="H8" s="100">
        <v>25.22</v>
      </c>
      <c r="I8" s="100">
        <v>4.95</v>
      </c>
      <c r="J8" s="100"/>
      <c r="K8" s="100">
        <v>101.3</v>
      </c>
      <c r="M8" s="101">
        <f>AVERAGE(G8:K8)</f>
        <v>43.823333333333331</v>
      </c>
      <c r="N8" s="26">
        <f>M5*M8</f>
        <v>147436.15503333331</v>
      </c>
    </row>
    <row r="9" spans="2:15">
      <c r="B9" s="59" t="s">
        <v>127</v>
      </c>
      <c r="C9" s="59"/>
      <c r="D9" s="59"/>
      <c r="E9" s="55"/>
      <c r="F9" s="54">
        <v>0.76</v>
      </c>
      <c r="G9" s="100">
        <v>2.2000000000000002</v>
      </c>
      <c r="H9" s="100">
        <v>1.68</v>
      </c>
      <c r="I9" s="100">
        <v>1.97</v>
      </c>
      <c r="J9" s="100">
        <v>5.3</v>
      </c>
      <c r="K9" s="100">
        <v>1.75</v>
      </c>
      <c r="M9" s="101">
        <f>AVERAGE(G9:K9)</f>
        <v>2.5799999999999996</v>
      </c>
      <c r="N9" s="26">
        <f>M9*O5</f>
        <v>80257.633799999996</v>
      </c>
    </row>
    <row r="10" spans="2:15">
      <c r="B10" s="59" t="s">
        <v>128</v>
      </c>
      <c r="C10" s="59"/>
      <c r="D10" s="59"/>
      <c r="E10" s="55"/>
      <c r="F10" s="54">
        <v>0.44</v>
      </c>
      <c r="G10" s="100">
        <v>0.09</v>
      </c>
      <c r="H10" s="100">
        <v>0.28000000000000003</v>
      </c>
      <c r="I10" s="100">
        <v>0.32</v>
      </c>
      <c r="J10" s="100">
        <v>0.28999999999999998</v>
      </c>
      <c r="K10" s="100">
        <v>0.24</v>
      </c>
      <c r="M10" s="101">
        <f>AVERAGE(G10:K10)</f>
        <v>0.24399999999999999</v>
      </c>
      <c r="N10" s="26">
        <f>M10*N5</f>
        <v>16110.156119999998</v>
      </c>
    </row>
    <row r="11" spans="2:15">
      <c r="B11" s="59" t="s">
        <v>129</v>
      </c>
      <c r="C11" s="59"/>
      <c r="D11" s="59"/>
      <c r="E11" s="55"/>
      <c r="F11" s="54">
        <v>1.17</v>
      </c>
      <c r="G11" s="54">
        <v>0.9</v>
      </c>
      <c r="H11" s="54">
        <v>0.54</v>
      </c>
      <c r="I11" s="54">
        <v>0.32</v>
      </c>
      <c r="J11" s="54">
        <v>0.45</v>
      </c>
      <c r="K11" s="54">
        <v>0.77</v>
      </c>
    </row>
    <row r="12" spans="2:15">
      <c r="B12" s="59" t="s">
        <v>130</v>
      </c>
      <c r="C12" s="59"/>
      <c r="D12" s="59"/>
      <c r="E12" s="55"/>
      <c r="F12" s="54">
        <v>5.36</v>
      </c>
      <c r="G12" s="54">
        <v>5.25</v>
      </c>
      <c r="H12" s="54">
        <v>4.8499999999999996</v>
      </c>
      <c r="I12" s="54">
        <v>1.82</v>
      </c>
      <c r="J12" s="54">
        <v>6.62</v>
      </c>
      <c r="K12" s="54">
        <v>2.58</v>
      </c>
    </row>
    <row r="13" spans="2:15">
      <c r="B13" s="60" t="s">
        <v>132</v>
      </c>
      <c r="C13" s="60"/>
      <c r="D13" s="60"/>
      <c r="E13" s="56"/>
      <c r="F13" s="57">
        <v>3.5</v>
      </c>
      <c r="G13" s="57"/>
      <c r="H13" s="57"/>
      <c r="I13" s="57"/>
      <c r="J13" s="57"/>
      <c r="K13" s="57"/>
    </row>
    <row r="15" spans="2:15">
      <c r="B15" s="78" t="s">
        <v>134</v>
      </c>
      <c r="C15" s="79" t="s">
        <v>113</v>
      </c>
      <c r="D15" s="79" t="s">
        <v>113</v>
      </c>
      <c r="E15" s="79" t="s">
        <v>113</v>
      </c>
      <c r="F15" s="79" t="s">
        <v>113</v>
      </c>
      <c r="G15" s="79" t="s">
        <v>113</v>
      </c>
      <c r="H15" s="79" t="s">
        <v>113</v>
      </c>
      <c r="I15" s="79" t="s">
        <v>113</v>
      </c>
      <c r="J15" s="79" t="s">
        <v>113</v>
      </c>
      <c r="K15" s="79" t="s">
        <v>113</v>
      </c>
      <c r="L15" s="79" t="s">
        <v>113</v>
      </c>
      <c r="M15" s="79" t="s">
        <v>113</v>
      </c>
      <c r="N15" s="79" t="s">
        <v>113</v>
      </c>
    </row>
    <row r="16" spans="2:15">
      <c r="B16" s="80" t="s">
        <v>135</v>
      </c>
      <c r="C16" s="81" t="s">
        <v>119</v>
      </c>
      <c r="D16" s="81" t="s">
        <v>119</v>
      </c>
      <c r="E16" s="81" t="s">
        <v>119</v>
      </c>
      <c r="F16" s="81" t="s">
        <v>119</v>
      </c>
      <c r="G16" s="81" t="s">
        <v>119</v>
      </c>
      <c r="H16" s="81" t="s">
        <v>119</v>
      </c>
      <c r="I16" s="81" t="s">
        <v>119</v>
      </c>
      <c r="J16" s="81" t="s">
        <v>119</v>
      </c>
      <c r="K16" s="81" t="s">
        <v>119</v>
      </c>
      <c r="L16" s="81" t="s">
        <v>119</v>
      </c>
      <c r="M16" s="81" t="s">
        <v>119</v>
      </c>
      <c r="N16" s="81" t="s">
        <v>119</v>
      </c>
    </row>
    <row r="17" spans="2:14">
      <c r="B17" s="80" t="s">
        <v>136</v>
      </c>
      <c r="C17" s="81" t="s">
        <v>137</v>
      </c>
      <c r="D17" s="81" t="s">
        <v>137</v>
      </c>
      <c r="E17" s="81" t="s">
        <v>137</v>
      </c>
      <c r="F17" s="81" t="s">
        <v>137</v>
      </c>
      <c r="G17" s="81" t="s">
        <v>137</v>
      </c>
      <c r="H17" s="81" t="s">
        <v>137</v>
      </c>
      <c r="I17" s="81" t="s">
        <v>137</v>
      </c>
      <c r="J17" s="81" t="s">
        <v>137</v>
      </c>
      <c r="K17" s="81" t="s">
        <v>138</v>
      </c>
      <c r="L17" s="81" t="s">
        <v>139</v>
      </c>
      <c r="M17" s="81" t="s">
        <v>139</v>
      </c>
      <c r="N17" s="81" t="s">
        <v>139</v>
      </c>
    </row>
    <row r="18" spans="2:14">
      <c r="B18" s="80" t="s">
        <v>140</v>
      </c>
      <c r="C18" s="81">
        <v>6000701001</v>
      </c>
      <c r="D18" s="81">
        <v>6000701050</v>
      </c>
      <c r="E18" s="81">
        <v>6000701060</v>
      </c>
      <c r="F18" s="81">
        <v>6001701021</v>
      </c>
      <c r="G18" s="81">
        <v>6000701037</v>
      </c>
      <c r="H18" s="81">
        <v>6000601002</v>
      </c>
      <c r="I18" s="81">
        <v>6000601035</v>
      </c>
      <c r="J18" s="81">
        <v>6000601031</v>
      </c>
      <c r="K18" s="81">
        <v>6000701032</v>
      </c>
      <c r="L18" s="81" t="s">
        <v>141</v>
      </c>
      <c r="M18" s="81" t="s">
        <v>142</v>
      </c>
      <c r="N18" s="81" t="s">
        <v>143</v>
      </c>
    </row>
    <row r="19" spans="2:14">
      <c r="B19" s="80" t="s">
        <v>144</v>
      </c>
      <c r="C19" s="81" t="s">
        <v>149</v>
      </c>
      <c r="D19" s="81" t="s">
        <v>150</v>
      </c>
      <c r="E19" s="81" t="s">
        <v>151</v>
      </c>
      <c r="F19" s="81" t="s">
        <v>152</v>
      </c>
      <c r="G19" s="81" t="s">
        <v>153</v>
      </c>
      <c r="H19" s="81" t="s">
        <v>154</v>
      </c>
      <c r="I19" s="81" t="s">
        <v>155</v>
      </c>
      <c r="J19" s="81" t="s">
        <v>156</v>
      </c>
      <c r="K19" s="81" t="s">
        <v>157</v>
      </c>
      <c r="L19" s="81" t="s">
        <v>158</v>
      </c>
      <c r="M19" s="81" t="s">
        <v>159</v>
      </c>
      <c r="N19" s="81" t="s">
        <v>160</v>
      </c>
    </row>
    <row r="20" spans="2:14">
      <c r="B20" s="82" t="s">
        <v>145</v>
      </c>
      <c r="C20" s="83" t="s">
        <v>146</v>
      </c>
      <c r="D20" s="83" t="s">
        <v>146</v>
      </c>
      <c r="E20" s="83" t="s">
        <v>146</v>
      </c>
      <c r="F20" s="83" t="s">
        <v>146</v>
      </c>
      <c r="G20" s="83" t="s">
        <v>146</v>
      </c>
      <c r="H20" s="83" t="s">
        <v>146</v>
      </c>
      <c r="I20" s="83" t="s">
        <v>146</v>
      </c>
      <c r="J20" s="83" t="s">
        <v>146</v>
      </c>
      <c r="K20" s="83" t="s">
        <v>146</v>
      </c>
      <c r="L20" s="83" t="s">
        <v>147</v>
      </c>
      <c r="M20" s="83" t="s">
        <v>147</v>
      </c>
      <c r="N20" s="83" t="s">
        <v>147</v>
      </c>
    </row>
    <row r="21" spans="2:14">
      <c r="B21" s="84">
        <v>43830</v>
      </c>
      <c r="C21" s="95" t="s">
        <v>148</v>
      </c>
      <c r="D21" s="95">
        <v>0.22081999999999999</v>
      </c>
      <c r="E21" s="95">
        <v>1.0295700000000001</v>
      </c>
      <c r="F21" s="85">
        <v>8.02</v>
      </c>
      <c r="G21" s="95">
        <v>1.0280199999999999</v>
      </c>
      <c r="H21" s="86">
        <v>-6556.01</v>
      </c>
      <c r="I21" s="86">
        <v>27681.57</v>
      </c>
      <c r="J21" s="86">
        <v>129062.67</v>
      </c>
      <c r="K21" s="86">
        <v>2258717760.9000001</v>
      </c>
      <c r="L21" s="87"/>
      <c r="M21" s="88"/>
      <c r="N21" s="88"/>
    </row>
    <row r="22" spans="2:14">
      <c r="B22" s="84">
        <v>44196</v>
      </c>
      <c r="C22" s="95" t="s">
        <v>148</v>
      </c>
      <c r="D22" s="95">
        <v>0.49249999999999999</v>
      </c>
      <c r="E22" s="95">
        <v>1.4872000000000001</v>
      </c>
      <c r="F22" s="85">
        <v>8.89</v>
      </c>
      <c r="G22" s="95">
        <v>1.65483</v>
      </c>
      <c r="H22" s="86">
        <v>-1535.14</v>
      </c>
      <c r="I22" s="86">
        <v>18289.37</v>
      </c>
      <c r="J22" s="86">
        <v>55228.01</v>
      </c>
      <c r="K22" s="86">
        <v>2076443437.3900001</v>
      </c>
      <c r="L22" s="87"/>
      <c r="M22" s="88"/>
      <c r="N22" s="88"/>
    </row>
    <row r="23" spans="2:14">
      <c r="B23" s="84">
        <v>44561</v>
      </c>
      <c r="C23" s="95">
        <v>16.328600000000002</v>
      </c>
      <c r="D23" s="95">
        <v>1.04613</v>
      </c>
      <c r="E23" s="95">
        <v>1.51633</v>
      </c>
      <c r="F23" s="85">
        <v>5.98</v>
      </c>
      <c r="G23" s="95">
        <v>3.0297900000000002</v>
      </c>
      <c r="H23" s="86">
        <v>1797.46</v>
      </c>
      <c r="I23" s="86">
        <v>19355.96</v>
      </c>
      <c r="J23" s="86">
        <v>28055.89</v>
      </c>
      <c r="K23" s="86">
        <v>3113333168.75</v>
      </c>
      <c r="L23" s="87"/>
      <c r="M23" s="88"/>
      <c r="N23" s="88"/>
    </row>
    <row r="24" spans="2:14">
      <c r="B24" s="84">
        <v>44926</v>
      </c>
      <c r="C24" s="95">
        <v>4.9041499999999996</v>
      </c>
      <c r="D24" s="95">
        <v>0.60131000000000001</v>
      </c>
      <c r="E24" s="95">
        <v>0.94240000000000002</v>
      </c>
      <c r="F24" s="85">
        <v>3.1</v>
      </c>
      <c r="G24" s="95">
        <v>1.8918600000000001</v>
      </c>
      <c r="H24" s="86">
        <v>4679.71</v>
      </c>
      <c r="I24" s="86">
        <v>24352.63</v>
      </c>
      <c r="J24" s="86">
        <v>38166.519999999997</v>
      </c>
      <c r="K24" s="86">
        <v>4480322837.4899998</v>
      </c>
      <c r="L24" s="87"/>
      <c r="M24" s="88"/>
      <c r="N24" s="88"/>
    </row>
    <row r="25" spans="2:14">
      <c r="B25" s="89">
        <v>45291</v>
      </c>
      <c r="C25" s="96">
        <v>8.3182200000000002</v>
      </c>
      <c r="D25" s="96">
        <v>0.54786000000000001</v>
      </c>
      <c r="E25" s="96">
        <v>0.92662</v>
      </c>
      <c r="F25" s="90">
        <v>3.94</v>
      </c>
      <c r="G25" s="96">
        <v>2.51268</v>
      </c>
      <c r="H25" s="91">
        <v>2873.21</v>
      </c>
      <c r="I25" s="91">
        <v>25792.55</v>
      </c>
      <c r="J25" s="91">
        <v>43624.22</v>
      </c>
      <c r="K25" s="91">
        <v>3512985562.9899998</v>
      </c>
      <c r="L25" s="92">
        <v>2880.07</v>
      </c>
      <c r="M25" s="93">
        <v>31736.51</v>
      </c>
      <c r="N25" s="93">
        <v>45884.82</v>
      </c>
    </row>
    <row r="26" spans="2:14">
      <c r="B26" s="84">
        <v>45657</v>
      </c>
      <c r="C26" s="95">
        <v>6.3365499999999999</v>
      </c>
      <c r="D26" s="95">
        <v>0.46706999999999999</v>
      </c>
      <c r="E26" s="95">
        <v>0.79700000000000004</v>
      </c>
      <c r="F26" s="85">
        <v>5.47</v>
      </c>
      <c r="G26" s="95">
        <v>2.1368100000000001</v>
      </c>
      <c r="H26" s="86">
        <v>3566.61</v>
      </c>
      <c r="I26" s="86">
        <v>28356.33</v>
      </c>
      <c r="J26" s="86">
        <v>48386.67</v>
      </c>
      <c r="K26" s="86">
        <v>3906230003.4200001</v>
      </c>
      <c r="L26" s="87">
        <v>4045.31</v>
      </c>
      <c r="M26" s="88">
        <v>31839.89</v>
      </c>
      <c r="N26" s="88">
        <v>51946.31</v>
      </c>
    </row>
    <row r="27" spans="2:14">
      <c r="B27" s="84">
        <v>45821</v>
      </c>
      <c r="C27" s="85">
        <v>6.3365499999999999</v>
      </c>
      <c r="D27" s="85">
        <v>0.46706999999999999</v>
      </c>
      <c r="E27" s="85">
        <v>0.79700000000000004</v>
      </c>
      <c r="F27" s="85">
        <v>5.47</v>
      </c>
      <c r="G27" s="85">
        <v>2.1368100000000001</v>
      </c>
      <c r="H27" s="86"/>
      <c r="I27" s="86"/>
      <c r="J27" s="86"/>
      <c r="K27" s="86"/>
      <c r="L27" s="97">
        <v>3364.33</v>
      </c>
      <c r="M27" s="98">
        <v>31107.61</v>
      </c>
      <c r="N27" s="98">
        <v>66025.23</v>
      </c>
    </row>
    <row r="29" spans="2:14">
      <c r="B29" t="s">
        <v>161</v>
      </c>
      <c r="C29" t="s">
        <v>162</v>
      </c>
      <c r="D29" t="s">
        <v>163</v>
      </c>
      <c r="E29" t="s">
        <v>164</v>
      </c>
      <c r="G29" t="s">
        <v>165</v>
      </c>
    </row>
    <row r="30" spans="2:14">
      <c r="B30" t="s">
        <v>166</v>
      </c>
      <c r="C30" s="94">
        <f>AVERAGE(C21:C26)</f>
        <v>8.9718800000000005</v>
      </c>
      <c r="D30" s="94">
        <f>AVERAGE(D21:D26)</f>
        <v>0.56261499999999998</v>
      </c>
      <c r="E30" s="94">
        <f>AVERAGE(E21:E26)</f>
        <v>1.11652</v>
      </c>
      <c r="G30" s="94">
        <f>AVERAGE(G21:G26)</f>
        <v>2.0423316666666671</v>
      </c>
    </row>
    <row r="31" spans="2:14">
      <c r="B31" t="s">
        <v>167</v>
      </c>
      <c r="C31" t="s">
        <v>169</v>
      </c>
      <c r="D31" t="s">
        <v>171</v>
      </c>
      <c r="E31" t="s">
        <v>173</v>
      </c>
      <c r="G31" t="s">
        <v>174</v>
      </c>
    </row>
    <row r="32" spans="2:14">
      <c r="B32" t="s">
        <v>175</v>
      </c>
      <c r="C32" s="99">
        <f>L27</f>
        <v>3364.33</v>
      </c>
      <c r="D32" s="99">
        <f>N27</f>
        <v>66025.23</v>
      </c>
      <c r="E32" s="99">
        <f>M27</f>
        <v>31107.61</v>
      </c>
    </row>
    <row r="34" spans="2:9">
      <c r="B34" t="s">
        <v>176</v>
      </c>
      <c r="C34" s="26">
        <f>C30*C32</f>
        <v>30184.3650404</v>
      </c>
      <c r="D34" s="26">
        <f t="shared" ref="D34:E34" si="0">D30*D32</f>
        <v>37146.784776449997</v>
      </c>
      <c r="E34" s="26">
        <f t="shared" si="0"/>
        <v>34732.268717200001</v>
      </c>
      <c r="G34">
        <f>G32*G30</f>
        <v>0</v>
      </c>
      <c r="I34" s="26">
        <f>AVERAGE(C34:E34)</f>
        <v>34021.139511349997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타인자본비용</vt:lpstr>
      <vt:lpstr>자기자본비용</vt:lpstr>
      <vt:lpstr>자본구조</vt:lpstr>
      <vt:lpstr>가치평가</vt:lpstr>
      <vt:lpstr>상대가치비교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이상민</dc:creator>
  <cp:lastModifiedBy>이상민</cp:lastModifiedBy>
  <dcterms:created xsi:type="dcterms:W3CDTF">2025-06-09T11:11:03Z</dcterms:created>
  <dcterms:modified xsi:type="dcterms:W3CDTF">2025-06-20T06:33:06Z</dcterms:modified>
</cp:coreProperties>
</file>