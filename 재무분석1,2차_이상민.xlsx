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바탕화면\광운대학교\재무분석\"/>
    </mc:Choice>
  </mc:AlternateContent>
  <xr:revisionPtr revIDLastSave="0" documentId="13_ncr:1_{EBA14C4B-2E77-4962-80F8-68C426026CE3}" xr6:coauthVersionLast="47" xr6:coauthVersionMax="47" xr10:uidLastSave="{00000000-0000-0000-0000-000000000000}"/>
  <bookViews>
    <workbookView xWindow="17505" yWindow="0" windowWidth="20895" windowHeight="21000" activeTab="3" xr2:uid="{CD213245-FA48-4C7F-A35F-E77413C8F850}"/>
  </bookViews>
  <sheets>
    <sheet name="재무상태표" sheetId="1" r:id="rId1"/>
    <sheet name="손익계산서" sheetId="2" r:id="rId2"/>
    <sheet name="현금흐름표" sheetId="3" r:id="rId3"/>
    <sheet name="재무비율분석" sheetId="4" r:id="rId4"/>
    <sheet name="추정현금흐름표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7" l="1"/>
  <c r="F64" i="7"/>
  <c r="E64" i="7"/>
  <c r="D64" i="7"/>
  <c r="C64" i="7"/>
  <c r="B64" i="7"/>
  <c r="C24" i="7"/>
  <c r="F22" i="7"/>
  <c r="F24" i="7" s="1"/>
  <c r="E22" i="7"/>
  <c r="E24" i="7" s="1"/>
  <c r="D22" i="7"/>
  <c r="D24" i="7" s="1"/>
  <c r="C22" i="7"/>
  <c r="B22" i="7"/>
  <c r="F21" i="7"/>
  <c r="E21" i="7"/>
  <c r="D21" i="7"/>
  <c r="C21" i="7"/>
  <c r="B21" i="7"/>
  <c r="G21" i="7" s="1"/>
  <c r="N20" i="7"/>
  <c r="M20" i="7"/>
  <c r="L20" i="7"/>
  <c r="K20" i="7"/>
  <c r="J20" i="7"/>
  <c r="O20" i="7" s="1"/>
  <c r="N19" i="7"/>
  <c r="O19" i="7" s="1"/>
  <c r="M19" i="7"/>
  <c r="L19" i="7"/>
  <c r="K19" i="7"/>
  <c r="J19" i="7"/>
  <c r="F19" i="7"/>
  <c r="N18" i="7"/>
  <c r="M18" i="7"/>
  <c r="L18" i="7"/>
  <c r="K18" i="7"/>
  <c r="J18" i="7"/>
  <c r="O18" i="7" s="1"/>
  <c r="B18" i="7"/>
  <c r="N17" i="7"/>
  <c r="M17" i="7"/>
  <c r="L17" i="7"/>
  <c r="K17" i="7"/>
  <c r="J17" i="7"/>
  <c r="O17" i="7" s="1"/>
  <c r="F17" i="7"/>
  <c r="D17" i="7"/>
  <c r="N16" i="7"/>
  <c r="M16" i="7"/>
  <c r="L16" i="7"/>
  <c r="K16" i="7"/>
  <c r="J16" i="7"/>
  <c r="O16" i="7" s="1"/>
  <c r="B16" i="7"/>
  <c r="F15" i="7"/>
  <c r="N13" i="7"/>
  <c r="M13" i="7"/>
  <c r="L13" i="7"/>
  <c r="K13" i="7"/>
  <c r="J13" i="7"/>
  <c r="N12" i="7"/>
  <c r="B68" i="7" s="1"/>
  <c r="M12" i="7"/>
  <c r="L12" i="7"/>
  <c r="K12" i="7"/>
  <c r="J12" i="7"/>
  <c r="F12" i="7"/>
  <c r="E12" i="7"/>
  <c r="E19" i="7" s="1"/>
  <c r="D12" i="7"/>
  <c r="D19" i="7" s="1"/>
  <c r="C12" i="7"/>
  <c r="C19" i="7" s="1"/>
  <c r="B12" i="7"/>
  <c r="B24" i="7" s="1"/>
  <c r="N11" i="7"/>
  <c r="M11" i="7"/>
  <c r="L11" i="7"/>
  <c r="K11" i="7"/>
  <c r="J11" i="7"/>
  <c r="F11" i="7"/>
  <c r="F23" i="7" s="1"/>
  <c r="E11" i="7"/>
  <c r="E23" i="7" s="1"/>
  <c r="D11" i="7"/>
  <c r="D23" i="7" s="1"/>
  <c r="C11" i="7"/>
  <c r="C23" i="7" s="1"/>
  <c r="B11" i="7"/>
  <c r="B23" i="7" s="1"/>
  <c r="N10" i="7"/>
  <c r="M10" i="7"/>
  <c r="L10" i="7"/>
  <c r="K10" i="7"/>
  <c r="J10" i="7"/>
  <c r="F10" i="7"/>
  <c r="E10" i="7"/>
  <c r="D10" i="7"/>
  <c r="C10" i="7"/>
  <c r="B10" i="7"/>
  <c r="N9" i="7"/>
  <c r="M9" i="7"/>
  <c r="L9" i="7"/>
  <c r="K9" i="7"/>
  <c r="J9" i="7"/>
  <c r="F9" i="7"/>
  <c r="E9" i="7"/>
  <c r="D9" i="7"/>
  <c r="C9" i="7"/>
  <c r="B9" i="7"/>
  <c r="N8" i="7"/>
  <c r="M8" i="7"/>
  <c r="L8" i="7"/>
  <c r="K8" i="7"/>
  <c r="J8" i="7"/>
  <c r="F8" i="7"/>
  <c r="E8" i="7"/>
  <c r="D8" i="7"/>
  <c r="C8" i="7"/>
  <c r="B8" i="7"/>
  <c r="N7" i="7"/>
  <c r="M7" i="7"/>
  <c r="L7" i="7"/>
  <c r="K7" i="7"/>
  <c r="J7" i="7"/>
  <c r="F7" i="7"/>
  <c r="F18" i="7" s="1"/>
  <c r="E7" i="7"/>
  <c r="E18" i="7" s="1"/>
  <c r="D7" i="7"/>
  <c r="D18" i="7" s="1"/>
  <c r="C7" i="7"/>
  <c r="B7" i="7"/>
  <c r="N6" i="7"/>
  <c r="M6" i="7"/>
  <c r="L6" i="7"/>
  <c r="K6" i="7"/>
  <c r="J6" i="7"/>
  <c r="F6" i="7"/>
  <c r="E6" i="7"/>
  <c r="E17" i="7" s="1"/>
  <c r="D6" i="7"/>
  <c r="C6" i="7"/>
  <c r="C17" i="7" s="1"/>
  <c r="B6" i="7"/>
  <c r="B17" i="7" s="1"/>
  <c r="G17" i="7" s="1"/>
  <c r="N5" i="7"/>
  <c r="M5" i="7"/>
  <c r="L5" i="7"/>
  <c r="K5" i="7"/>
  <c r="J5" i="7"/>
  <c r="F5" i="7"/>
  <c r="E5" i="7"/>
  <c r="D5" i="7"/>
  <c r="C5" i="7"/>
  <c r="B5" i="7"/>
  <c r="N4" i="7"/>
  <c r="M4" i="7"/>
  <c r="L4" i="7"/>
  <c r="K4" i="7"/>
  <c r="J4" i="7"/>
  <c r="F4" i="7"/>
  <c r="F16" i="7" s="1"/>
  <c r="E4" i="7"/>
  <c r="E16" i="7" s="1"/>
  <c r="D4" i="7"/>
  <c r="D16" i="7" s="1"/>
  <c r="C4" i="7"/>
  <c r="B4" i="7"/>
  <c r="N3" i="7"/>
  <c r="M3" i="7"/>
  <c r="L3" i="7"/>
  <c r="K3" i="7"/>
  <c r="J3" i="7"/>
  <c r="F3" i="7"/>
  <c r="E3" i="7"/>
  <c r="E15" i="7" s="1"/>
  <c r="D3" i="7"/>
  <c r="D15" i="7" s="1"/>
  <c r="C3" i="7"/>
  <c r="C18" i="7" s="1"/>
  <c r="B3" i="7"/>
  <c r="G23" i="7" l="1"/>
  <c r="G24" i="7"/>
  <c r="G18" i="7"/>
  <c r="D69" i="7"/>
  <c r="D76" i="7" s="1"/>
  <c r="D77" i="7" s="1"/>
  <c r="C69" i="7"/>
  <c r="C76" i="7" s="1"/>
  <c r="C77" i="7" s="1"/>
  <c r="B69" i="7"/>
  <c r="B76" i="7" s="1"/>
  <c r="B77" i="7" s="1"/>
  <c r="C16" i="7"/>
  <c r="G16" i="7" s="1"/>
  <c r="B19" i="7"/>
  <c r="G19" i="7" s="1"/>
  <c r="C15" i="7"/>
  <c r="G15" i="7" s="1"/>
  <c r="O3" i="7" s="1"/>
  <c r="G32" i="7" l="1"/>
  <c r="B70" i="7" s="1"/>
  <c r="O6" i="7"/>
  <c r="O4" i="7"/>
  <c r="O5" i="7" s="1"/>
  <c r="O7" i="7" s="1"/>
  <c r="O10" i="7" s="1"/>
  <c r="G48" i="7"/>
  <c r="B74" i="7" s="1"/>
  <c r="G43" i="7"/>
  <c r="B73" i="7" s="1"/>
  <c r="P3" i="7"/>
  <c r="G34" i="7"/>
  <c r="B71" i="7" s="1"/>
  <c r="G33" i="7"/>
  <c r="B72" i="7" s="1"/>
  <c r="B75" i="7" s="1"/>
  <c r="O11" i="7" l="1"/>
  <c r="O12" i="7"/>
  <c r="O13" i="7" s="1"/>
  <c r="B78" i="7" s="1"/>
  <c r="B79" i="7" s="1"/>
  <c r="B80" i="7" s="1"/>
  <c r="B82" i="7" s="1"/>
  <c r="C81" i="7" s="1"/>
  <c r="P6" i="7"/>
  <c r="P5" i="7"/>
  <c r="P7" i="7" s="1"/>
  <c r="P10" i="7" s="1"/>
  <c r="P4" i="7"/>
  <c r="H48" i="7"/>
  <c r="C74" i="7" s="1"/>
  <c r="H43" i="7"/>
  <c r="C73" i="7" s="1"/>
  <c r="H32" i="7"/>
  <c r="C70" i="7" s="1"/>
  <c r="H34" i="7"/>
  <c r="C71" i="7" s="1"/>
  <c r="Q3" i="7"/>
  <c r="H33" i="7"/>
  <c r="C72" i="7" s="1"/>
  <c r="P11" i="7" l="1"/>
  <c r="P12" i="7" s="1"/>
  <c r="I43" i="7"/>
  <c r="D73" i="7" s="1"/>
  <c r="I48" i="7"/>
  <c r="D74" i="7" s="1"/>
  <c r="Q6" i="7"/>
  <c r="Q4" i="7"/>
  <c r="Q5" i="7" s="1"/>
  <c r="Q7" i="7" s="1"/>
  <c r="Q10" i="7" s="1"/>
  <c r="I34" i="7"/>
  <c r="D71" i="7" s="1"/>
  <c r="I33" i="7"/>
  <c r="D72" i="7" s="1"/>
  <c r="I32" i="7"/>
  <c r="D70" i="7" s="1"/>
  <c r="Q11" i="7" l="1"/>
  <c r="Q12" i="7"/>
  <c r="P13" i="7"/>
  <c r="C78" i="7" s="1"/>
  <c r="C79" i="7" s="1"/>
  <c r="C68" i="7"/>
  <c r="C75" i="7" s="1"/>
  <c r="C80" i="7" s="1"/>
  <c r="C82" i="7" s="1"/>
  <c r="D81" i="7" s="1"/>
  <c r="Q13" i="7" l="1"/>
  <c r="D78" i="7" s="1"/>
  <c r="D79" i="7" s="1"/>
  <c r="D68" i="7"/>
  <c r="D75" i="7" s="1"/>
  <c r="D80" i="7" s="1"/>
  <c r="D82" i="7" s="1"/>
  <c r="G61" i="4" l="1"/>
  <c r="G60" i="4"/>
  <c r="G59" i="4"/>
  <c r="G58" i="4"/>
  <c r="G57" i="4"/>
  <c r="G56" i="4"/>
  <c r="G55" i="4"/>
  <c r="G54" i="4"/>
  <c r="G53" i="4"/>
  <c r="J18" i="4"/>
  <c r="K18" i="4"/>
  <c r="L18" i="4"/>
  <c r="M18" i="4"/>
  <c r="N18" i="4"/>
  <c r="O18" i="4"/>
  <c r="P18" i="4"/>
  <c r="Q18" i="4"/>
  <c r="R18" i="4"/>
  <c r="S18" i="4"/>
  <c r="T18" i="4"/>
  <c r="U18" i="4"/>
  <c r="J19" i="4"/>
  <c r="K19" i="4"/>
  <c r="L19" i="4"/>
  <c r="M19" i="4"/>
  <c r="N19" i="4"/>
  <c r="O19" i="4"/>
  <c r="P19" i="4"/>
  <c r="Q19" i="4"/>
  <c r="R19" i="4"/>
  <c r="S19" i="4"/>
  <c r="T19" i="4"/>
  <c r="U19" i="4"/>
  <c r="J17" i="4"/>
  <c r="K17" i="4"/>
  <c r="L17" i="4"/>
  <c r="M17" i="4"/>
  <c r="N17" i="4"/>
  <c r="O17" i="4"/>
  <c r="P17" i="4"/>
  <c r="Q17" i="4"/>
  <c r="R17" i="4"/>
  <c r="S17" i="4"/>
  <c r="T17" i="4"/>
  <c r="U17" i="4"/>
  <c r="L16" i="4"/>
  <c r="M16" i="4"/>
  <c r="N16" i="4"/>
  <c r="O16" i="4"/>
  <c r="P16" i="4"/>
  <c r="Q16" i="4"/>
  <c r="R16" i="4"/>
  <c r="S16" i="4"/>
  <c r="T16" i="4"/>
  <c r="U16" i="4"/>
  <c r="K16" i="4"/>
  <c r="J16" i="4"/>
  <c r="L15" i="4"/>
  <c r="M15" i="4"/>
  <c r="N15" i="4"/>
  <c r="O15" i="4"/>
  <c r="P15" i="4"/>
  <c r="Q15" i="4"/>
  <c r="R15" i="4"/>
  <c r="S15" i="4"/>
  <c r="T15" i="4"/>
  <c r="U15" i="4"/>
  <c r="K15" i="4"/>
  <c r="F50" i="4"/>
  <c r="F49" i="4"/>
  <c r="E50" i="4"/>
  <c r="D50" i="4"/>
  <c r="D49" i="4"/>
  <c r="C50" i="4"/>
  <c r="C49" i="4"/>
  <c r="B50" i="4"/>
  <c r="G50" i="4" s="1"/>
  <c r="B49" i="4"/>
  <c r="F48" i="4"/>
  <c r="D48" i="4"/>
  <c r="C48" i="4"/>
  <c r="B48" i="4"/>
  <c r="F47" i="4"/>
  <c r="D47" i="4"/>
  <c r="C47" i="4"/>
  <c r="B47" i="4"/>
  <c r="F46" i="4"/>
  <c r="D46" i="4"/>
  <c r="C46" i="4"/>
  <c r="B46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C23" i="4"/>
  <c r="C22" i="4"/>
  <c r="C21" i="4"/>
  <c r="C20" i="4"/>
  <c r="G19" i="4"/>
  <c r="F19" i="4"/>
  <c r="E19" i="4"/>
  <c r="D19" i="4"/>
  <c r="G18" i="4"/>
  <c r="F18" i="4"/>
  <c r="E18" i="4"/>
  <c r="D18" i="4"/>
  <c r="G17" i="4"/>
  <c r="F17" i="4"/>
  <c r="E17" i="4"/>
  <c r="D17" i="4"/>
  <c r="C19" i="4"/>
  <c r="C18" i="4"/>
  <c r="C17" i="4"/>
  <c r="N29" i="4"/>
  <c r="N31" i="4" s="1"/>
  <c r="G15" i="4" s="1"/>
  <c r="M29" i="4"/>
  <c r="F12" i="4" s="1"/>
  <c r="L29" i="4"/>
  <c r="E12" i="4" s="1"/>
  <c r="K29" i="4"/>
  <c r="D12" i="4" s="1"/>
  <c r="J29" i="4"/>
  <c r="J31" i="4" s="1"/>
  <c r="C16" i="4" s="1"/>
  <c r="D8" i="4"/>
  <c r="D9" i="4" s="1"/>
  <c r="E8" i="4"/>
  <c r="E9" i="4" s="1"/>
  <c r="F8" i="4"/>
  <c r="F9" i="4" s="1"/>
  <c r="G8" i="4"/>
  <c r="G9" i="4" s="1"/>
  <c r="C8" i="4"/>
  <c r="C9" i="4" s="1"/>
  <c r="G10" i="4"/>
  <c r="G11" i="4" s="1"/>
  <c r="F10" i="4"/>
  <c r="F11" i="4" s="1"/>
  <c r="E10" i="4"/>
  <c r="E11" i="4" s="1"/>
  <c r="D10" i="4"/>
  <c r="D11" i="4" s="1"/>
  <c r="C10" i="4"/>
  <c r="C11" i="4" s="1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G3" i="4"/>
  <c r="F3" i="4"/>
  <c r="E3" i="4"/>
  <c r="D3" i="4"/>
  <c r="C3" i="4"/>
  <c r="G2" i="4"/>
  <c r="F2" i="4"/>
  <c r="E2" i="4"/>
  <c r="D2" i="4"/>
  <c r="C2" i="4"/>
  <c r="O7" i="1"/>
  <c r="P7" i="1"/>
  <c r="Q7" i="1"/>
  <c r="R7" i="1"/>
  <c r="N7" i="1"/>
  <c r="O6" i="1"/>
  <c r="P6" i="1"/>
  <c r="Q6" i="1"/>
  <c r="R6" i="1"/>
  <c r="N6" i="1"/>
  <c r="O5" i="1"/>
  <c r="P5" i="1"/>
  <c r="Q5" i="1"/>
  <c r="R5" i="1"/>
  <c r="N5" i="1"/>
  <c r="O4" i="1"/>
  <c r="P4" i="1"/>
  <c r="Q4" i="1"/>
  <c r="R4" i="1"/>
  <c r="N4" i="1"/>
  <c r="O3" i="1"/>
  <c r="P3" i="1"/>
  <c r="Q3" i="1"/>
  <c r="R3" i="1"/>
  <c r="N3" i="1"/>
  <c r="J11" i="3"/>
  <c r="K11" i="3"/>
  <c r="L11" i="3"/>
  <c r="M11" i="3"/>
  <c r="I11" i="3"/>
  <c r="J3" i="3"/>
  <c r="K3" i="3"/>
  <c r="L3" i="3"/>
  <c r="M3" i="3"/>
  <c r="J4" i="3"/>
  <c r="K4" i="3"/>
  <c r="L4" i="3"/>
  <c r="M4" i="3"/>
  <c r="J5" i="3"/>
  <c r="K5" i="3"/>
  <c r="L5" i="3"/>
  <c r="M5" i="3"/>
  <c r="J6" i="3"/>
  <c r="K6" i="3"/>
  <c r="L6" i="3"/>
  <c r="M6" i="3"/>
  <c r="J7" i="3"/>
  <c r="K7" i="3"/>
  <c r="L7" i="3"/>
  <c r="M7" i="3"/>
  <c r="J8" i="3"/>
  <c r="K8" i="3"/>
  <c r="L8" i="3"/>
  <c r="M8" i="3"/>
  <c r="J9" i="3"/>
  <c r="K9" i="3"/>
  <c r="L9" i="3"/>
  <c r="M9" i="3"/>
  <c r="J10" i="3"/>
  <c r="K10" i="3"/>
  <c r="L10" i="3"/>
  <c r="M10" i="3"/>
  <c r="I10" i="3"/>
  <c r="I8" i="3"/>
  <c r="I9" i="3"/>
  <c r="I7" i="3"/>
  <c r="I6" i="3"/>
  <c r="I5" i="3"/>
  <c r="I4" i="3"/>
  <c r="I3" i="3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I14" i="2"/>
  <c r="I13" i="2"/>
  <c r="I12" i="2"/>
  <c r="I11" i="2"/>
  <c r="I10" i="2"/>
  <c r="I9" i="2"/>
  <c r="I8" i="2"/>
  <c r="I7" i="2"/>
  <c r="I6" i="2"/>
  <c r="I5" i="2"/>
  <c r="I4" i="2"/>
  <c r="I3" i="2"/>
  <c r="G35" i="1"/>
  <c r="K35" i="1"/>
  <c r="G36" i="1"/>
  <c r="I37" i="1"/>
  <c r="J37" i="1"/>
  <c r="K37" i="1"/>
  <c r="G38" i="1"/>
  <c r="H38" i="1"/>
  <c r="G39" i="1"/>
  <c r="H39" i="1"/>
  <c r="K33" i="1"/>
  <c r="I33" i="1"/>
  <c r="H33" i="1"/>
  <c r="G33" i="1"/>
  <c r="H19" i="1"/>
  <c r="I19" i="1"/>
  <c r="K20" i="1"/>
  <c r="G21" i="1"/>
  <c r="H21" i="1"/>
  <c r="I21" i="1"/>
  <c r="J21" i="1"/>
  <c r="G24" i="1"/>
  <c r="H24" i="1"/>
  <c r="I24" i="1"/>
  <c r="J24" i="1"/>
  <c r="K24" i="1"/>
  <c r="K25" i="1"/>
  <c r="H27" i="1"/>
  <c r="I27" i="1"/>
  <c r="J27" i="1"/>
  <c r="K27" i="1"/>
  <c r="G28" i="1"/>
  <c r="K28" i="1"/>
  <c r="G29" i="1"/>
  <c r="K30" i="1"/>
  <c r="G31" i="1"/>
  <c r="H31" i="1"/>
  <c r="G32" i="1"/>
  <c r="H32" i="1"/>
  <c r="H18" i="1"/>
  <c r="G18" i="1"/>
  <c r="H17" i="1"/>
  <c r="I17" i="1"/>
  <c r="J17" i="1"/>
  <c r="C40" i="1"/>
  <c r="H35" i="1" s="1"/>
  <c r="D40" i="1"/>
  <c r="I38" i="1" s="1"/>
  <c r="E40" i="1"/>
  <c r="J25" i="1" s="1"/>
  <c r="F40" i="1"/>
  <c r="K21" i="1" s="1"/>
  <c r="B40" i="1"/>
  <c r="G25" i="1" s="1"/>
  <c r="H13" i="1"/>
  <c r="I13" i="1"/>
  <c r="J13" i="1"/>
  <c r="K13" i="1"/>
  <c r="H14" i="1"/>
  <c r="I14" i="1"/>
  <c r="J14" i="1"/>
  <c r="K14" i="1"/>
  <c r="H15" i="1"/>
  <c r="I15" i="1"/>
  <c r="J15" i="1"/>
  <c r="K15" i="1"/>
  <c r="G15" i="1"/>
  <c r="G14" i="1"/>
  <c r="G13" i="1"/>
  <c r="H12" i="1"/>
  <c r="I12" i="1"/>
  <c r="J12" i="1"/>
  <c r="K12" i="1"/>
  <c r="G12" i="1"/>
  <c r="H11" i="1"/>
  <c r="I11" i="1"/>
  <c r="J11" i="1"/>
  <c r="K11" i="1"/>
  <c r="G11" i="1"/>
  <c r="H9" i="1"/>
  <c r="I9" i="1"/>
  <c r="J9" i="1"/>
  <c r="K9" i="1"/>
  <c r="G9" i="1"/>
  <c r="H8" i="1"/>
  <c r="I8" i="1"/>
  <c r="J8" i="1"/>
  <c r="K8" i="1"/>
  <c r="G8" i="1"/>
  <c r="H7" i="1"/>
  <c r="I7" i="1"/>
  <c r="J7" i="1"/>
  <c r="K7" i="1"/>
  <c r="G7" i="1"/>
  <c r="H6" i="1"/>
  <c r="I6" i="1"/>
  <c r="J6" i="1"/>
  <c r="K6" i="1"/>
  <c r="G6" i="1"/>
  <c r="H5" i="1"/>
  <c r="I5" i="1"/>
  <c r="J5" i="1"/>
  <c r="K5" i="1"/>
  <c r="G5" i="1"/>
  <c r="H10" i="1"/>
  <c r="I10" i="1"/>
  <c r="J10" i="1"/>
  <c r="K10" i="1"/>
  <c r="H4" i="1"/>
  <c r="I4" i="1"/>
  <c r="J4" i="1"/>
  <c r="K4" i="1"/>
  <c r="G10" i="1"/>
  <c r="G4" i="1"/>
  <c r="E46" i="4" l="1"/>
  <c r="G46" i="4" s="1"/>
  <c r="M31" i="4"/>
  <c r="L31" i="4"/>
  <c r="K31" i="4"/>
  <c r="C12" i="4"/>
  <c r="C13" i="4"/>
  <c r="C14" i="4"/>
  <c r="E15" i="4"/>
  <c r="G14" i="4"/>
  <c r="F14" i="4"/>
  <c r="E14" i="4"/>
  <c r="D14" i="4"/>
  <c r="G13" i="4"/>
  <c r="G12" i="4"/>
  <c r="F13" i="4"/>
  <c r="C15" i="4"/>
  <c r="E13" i="4"/>
  <c r="D13" i="4"/>
  <c r="G16" i="4"/>
  <c r="F16" i="4"/>
  <c r="I18" i="1"/>
  <c r="H30" i="1"/>
  <c r="G27" i="1"/>
  <c r="K23" i="1"/>
  <c r="J20" i="1"/>
  <c r="I34" i="1"/>
  <c r="H37" i="1"/>
  <c r="I30" i="1"/>
  <c r="J18" i="1"/>
  <c r="G30" i="1"/>
  <c r="K26" i="1"/>
  <c r="J23" i="1"/>
  <c r="I20" i="1"/>
  <c r="J34" i="1"/>
  <c r="G37" i="1"/>
  <c r="K18" i="1"/>
  <c r="K29" i="1"/>
  <c r="J26" i="1"/>
  <c r="I23" i="1"/>
  <c r="H20" i="1"/>
  <c r="K34" i="1"/>
  <c r="K36" i="1"/>
  <c r="J33" i="1"/>
  <c r="K32" i="1"/>
  <c r="J29" i="1"/>
  <c r="I26" i="1"/>
  <c r="H23" i="1"/>
  <c r="G20" i="1"/>
  <c r="K39" i="1"/>
  <c r="J36" i="1"/>
  <c r="J32" i="1"/>
  <c r="I29" i="1"/>
  <c r="H26" i="1"/>
  <c r="G23" i="1"/>
  <c r="K19" i="1"/>
  <c r="J39" i="1"/>
  <c r="I36" i="1"/>
  <c r="J30" i="1"/>
  <c r="I32" i="1"/>
  <c r="H29" i="1"/>
  <c r="G26" i="1"/>
  <c r="K22" i="1"/>
  <c r="J19" i="1"/>
  <c r="I39" i="1"/>
  <c r="H36" i="1"/>
  <c r="K31" i="1"/>
  <c r="J28" i="1"/>
  <c r="I25" i="1"/>
  <c r="H22" i="1"/>
  <c r="G19" i="1"/>
  <c r="K38" i="1"/>
  <c r="J35" i="1"/>
  <c r="J22" i="1"/>
  <c r="I22" i="1"/>
  <c r="G17" i="1"/>
  <c r="J31" i="1"/>
  <c r="I28" i="1"/>
  <c r="H25" i="1"/>
  <c r="G22" i="1"/>
  <c r="G34" i="1"/>
  <c r="J38" i="1"/>
  <c r="I35" i="1"/>
  <c r="K17" i="1"/>
  <c r="I31" i="1"/>
  <c r="H28" i="1"/>
  <c r="H34" i="1"/>
  <c r="D16" i="4" l="1"/>
  <c r="E47" i="4"/>
  <c r="G47" i="4" s="1"/>
  <c r="E16" i="4"/>
  <c r="E48" i="4"/>
  <c r="G48" i="4" s="1"/>
  <c r="F15" i="4"/>
  <c r="E49" i="4"/>
  <c r="G49" i="4" s="1"/>
  <c r="D15" i="4"/>
</calcChain>
</file>

<file path=xl/sharedStrings.xml><?xml version="1.0" encoding="utf-8"?>
<sst xmlns="http://schemas.openxmlformats.org/spreadsheetml/2006/main" count="393" uniqueCount="335">
  <si>
    <t>자산(*)</t>
  </si>
  <si>
    <t xml:space="preserve">     유동자산(*)</t>
  </si>
  <si>
    <t xml:space="preserve">          재고자산(*)</t>
  </si>
  <si>
    <t xml:space="preserve">          유동금융자산(*)</t>
  </si>
  <si>
    <t xml:space="preserve">          매출채권및기타유동채권(*)</t>
  </si>
  <si>
    <t xml:space="preserve">          기타유동자산(*)</t>
  </si>
  <si>
    <t xml:space="preserve">          현금및현금성자산(*)</t>
  </si>
  <si>
    <t xml:space="preserve">          유형자산(*)</t>
  </si>
  <si>
    <t xml:space="preserve">          무형자산(*)</t>
  </si>
  <si>
    <t xml:space="preserve">          투자부동산(*)</t>
  </si>
  <si>
    <t xml:space="preserve">          기타비유동자산(*)</t>
  </si>
  <si>
    <t>부채(*)</t>
  </si>
  <si>
    <t xml:space="preserve">     유동부채(*)</t>
  </si>
  <si>
    <t xml:space="preserve">          단기차입금(*)</t>
  </si>
  <si>
    <t xml:space="preserve">          유동성장기부채(*)</t>
  </si>
  <si>
    <t xml:space="preserve">          매입채무및기타유동채무(*)</t>
  </si>
  <si>
    <t xml:space="preserve">          기타단기충당부채(*)</t>
  </si>
  <si>
    <t xml:space="preserve">          당기법인세부채(미지급법인세)</t>
  </si>
  <si>
    <t xml:space="preserve">          기타유동부채(*)</t>
  </si>
  <si>
    <t xml:space="preserve">     비유동부채(*)</t>
  </si>
  <si>
    <t xml:space="preserve">          사채(*)</t>
  </si>
  <si>
    <t xml:space="preserve">          장기차입금(*)</t>
  </si>
  <si>
    <t xml:space="preserve">          비유동금융부채(*)</t>
  </si>
  <si>
    <t xml:space="preserve">          비유동종업원급여충당부채(*)</t>
  </si>
  <si>
    <t xml:space="preserve">          기타장기충당부채(*)</t>
  </si>
  <si>
    <t xml:space="preserve">          이연법인세부채</t>
  </si>
  <si>
    <t xml:space="preserve">          기타비유동부채(*)</t>
  </si>
  <si>
    <t>자본(*)</t>
  </si>
  <si>
    <t xml:space="preserve">     지배기업주주지분(*)</t>
  </si>
  <si>
    <t xml:space="preserve">          자본금(*)</t>
  </si>
  <si>
    <t xml:space="preserve">          자본잉여금(*)</t>
  </si>
  <si>
    <t xml:space="preserve">          기타포괄손익누계액(*)</t>
  </si>
  <si>
    <t xml:space="preserve">          이익잉여금(결손금)(*)</t>
  </si>
  <si>
    <t xml:space="preserve">     비지배주주지분</t>
  </si>
  <si>
    <t>계정명</t>
    <phoneticPr fontId="3" type="noConversion"/>
  </si>
  <si>
    <r>
      <t xml:space="preserve">     </t>
    </r>
    <r>
      <rPr>
        <b/>
        <sz val="9"/>
        <color rgb="FF000000"/>
        <rFont val="맑은 고딕"/>
        <family val="3"/>
        <charset val="129"/>
      </rPr>
      <t>비유동자산</t>
    </r>
    <r>
      <rPr>
        <b/>
        <sz val="9"/>
        <color rgb="FF000000"/>
        <rFont val="Arial"/>
        <family val="2"/>
      </rPr>
      <t>(*)</t>
    </r>
    <phoneticPr fontId="3" type="noConversion"/>
  </si>
  <si>
    <r>
      <t xml:space="preserve">     </t>
    </r>
    <r>
      <rPr>
        <sz val="9"/>
        <color rgb="FF000000"/>
        <rFont val="맑은 고딕"/>
        <family val="2"/>
        <charset val="129"/>
      </rPr>
      <t>기타</t>
    </r>
    <r>
      <rPr>
        <sz val="9"/>
        <color rgb="FF000000"/>
        <rFont val="맑은 고딕"/>
        <family val="3"/>
        <charset val="129"/>
      </rPr>
      <t>비유동자산</t>
    </r>
    <r>
      <rPr>
        <sz val="9"/>
        <color rgb="FF000000"/>
        <rFont val="Arial"/>
        <family val="2"/>
      </rPr>
      <t>(*)</t>
    </r>
    <phoneticPr fontId="3" type="noConversion"/>
  </si>
  <si>
    <t>비율</t>
    <phoneticPr fontId="3" type="noConversion"/>
  </si>
  <si>
    <r>
      <rPr>
        <b/>
        <sz val="9"/>
        <color rgb="FF000000"/>
        <rFont val="맑은 고딕"/>
        <family val="3"/>
        <charset val="129"/>
      </rPr>
      <t>부채</t>
    </r>
    <r>
      <rPr>
        <b/>
        <sz val="9"/>
        <color rgb="FF000000"/>
        <rFont val="돋움"/>
        <family val="3"/>
        <charset val="129"/>
      </rPr>
      <t>와자본총계(*)</t>
    </r>
    <phoneticPr fontId="3" type="noConversion"/>
  </si>
  <si>
    <t>금액 (단위: 억원)</t>
    <phoneticPr fontId="3" type="noConversion"/>
  </si>
  <si>
    <t>계정명</t>
  </si>
  <si>
    <t>매출액(수익)(*)</t>
  </si>
  <si>
    <t xml:space="preserve">     용역수익</t>
  </si>
  <si>
    <t xml:space="preserve">     임대수익</t>
  </si>
  <si>
    <t xml:space="preserve">     이자수익</t>
  </si>
  <si>
    <t xml:space="preserve">     기타</t>
  </si>
  <si>
    <t>매출원가(*)</t>
  </si>
  <si>
    <t xml:space="preserve">     이자비용</t>
  </si>
  <si>
    <t>매출총이익(손실)</t>
  </si>
  <si>
    <t>판매비와관리비(*)</t>
  </si>
  <si>
    <t xml:space="preserve">     인건비(*)</t>
  </si>
  <si>
    <t xml:space="preserve">     유무형자산상각비(*)</t>
  </si>
  <si>
    <t xml:space="preserve">     광고선전비</t>
  </si>
  <si>
    <t xml:space="preserve">     판매비(*)</t>
  </si>
  <si>
    <t xml:space="preserve">     관리비(*)</t>
  </si>
  <si>
    <t>영업이익(손실)</t>
  </si>
  <si>
    <t>금융수익(*)</t>
  </si>
  <si>
    <t>금융원가(*)</t>
  </si>
  <si>
    <t xml:space="preserve">     외환손실(*)</t>
  </si>
  <si>
    <t xml:space="preserve">     파생상품손실(*)</t>
  </si>
  <si>
    <t>기타수익(*)</t>
  </si>
  <si>
    <t xml:space="preserve">     기타(*)</t>
  </si>
  <si>
    <t>기타비용(*)</t>
  </si>
  <si>
    <t xml:space="preserve">     자산처분(폐기)손실(*)</t>
  </si>
  <si>
    <t xml:space="preserve">     자산손상차손(*)</t>
  </si>
  <si>
    <t>종속기업,공동지배기업및관계기업관련손익(*)</t>
  </si>
  <si>
    <t>법인세비용차감전계속사업이익</t>
  </si>
  <si>
    <t>법인세비용</t>
  </si>
  <si>
    <t>계속영업이익(손실)</t>
  </si>
  <si>
    <t>중단영업이익(손실)</t>
  </si>
  <si>
    <t>당기순이익(손실)</t>
  </si>
  <si>
    <t>기타포괄손익(*)</t>
  </si>
  <si>
    <t>총포괄손익</t>
  </si>
  <si>
    <t>(당기순손익귀속)지배기업주주지분</t>
  </si>
  <si>
    <t>(당기순손익귀속)비지배주주지분</t>
  </si>
  <si>
    <t>(총포괄손익귀속)지배기업주주지분</t>
  </si>
  <si>
    <t>(총포괄손익귀속)비지배주주지분</t>
  </si>
  <si>
    <t>*성격별비용계정(*)</t>
  </si>
  <si>
    <t xml:space="preserve">     *기타원가</t>
  </si>
  <si>
    <t xml:space="preserve">     *종업원급여비용</t>
  </si>
  <si>
    <t xml:space="preserve">     *감가상각비와기타상각비및손상차손</t>
  </si>
  <si>
    <t xml:space="preserve">     *세금과공과</t>
  </si>
  <si>
    <t xml:space="preserve">     *임차료및리스료</t>
  </si>
  <si>
    <t xml:space="preserve">     *기타비용</t>
  </si>
  <si>
    <r>
      <t xml:space="preserve">     </t>
    </r>
    <r>
      <rPr>
        <sz val="9"/>
        <color rgb="FF000000"/>
        <rFont val="맑은 고딕"/>
        <family val="3"/>
        <charset val="129"/>
      </rPr>
      <t>기타</t>
    </r>
    <phoneticPr fontId="3" type="noConversion"/>
  </si>
  <si>
    <r>
      <t>(</t>
    </r>
    <r>
      <rPr>
        <b/>
        <sz val="9"/>
        <color rgb="FF000000"/>
        <rFont val="맑은 고딕"/>
        <family val="3"/>
        <charset val="129"/>
      </rPr>
      <t>지배기업주주지분</t>
    </r>
    <r>
      <rPr>
        <b/>
        <sz val="9"/>
        <color rgb="FF000000"/>
        <rFont val="Arial"/>
        <family val="2"/>
      </rPr>
      <t>)</t>
    </r>
    <r>
      <rPr>
        <b/>
        <sz val="9"/>
        <color rgb="FF000000"/>
        <rFont val="맑은 고딕"/>
        <family val="3"/>
        <charset val="129"/>
      </rPr>
      <t>주당순손익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rgb="FF000000"/>
        <rFont val="맑은 고딕"/>
        <family val="2"/>
        <charset val="129"/>
      </rPr>
      <t>원</t>
    </r>
    <r>
      <rPr>
        <b/>
        <sz val="9"/>
        <color indexed="8"/>
        <rFont val="Arial"/>
        <family val="2"/>
      </rPr>
      <t>)</t>
    </r>
    <phoneticPr fontId="3" type="noConversion"/>
  </si>
  <si>
    <r>
      <t>(</t>
    </r>
    <r>
      <rPr>
        <b/>
        <sz val="9"/>
        <color rgb="FF000000"/>
        <rFont val="맑은 고딕"/>
        <family val="3"/>
        <charset val="129"/>
      </rPr>
      <t>지배기업주주지분</t>
    </r>
    <r>
      <rPr>
        <b/>
        <sz val="9"/>
        <color rgb="FF000000"/>
        <rFont val="Arial"/>
        <family val="2"/>
      </rPr>
      <t>)</t>
    </r>
    <r>
      <rPr>
        <b/>
        <sz val="9"/>
        <color rgb="FF000000"/>
        <rFont val="맑은 고딕"/>
        <family val="3"/>
        <charset val="129"/>
      </rPr>
      <t>희석주당계속영업이익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rgb="FF000000"/>
        <rFont val="맑은 고딕"/>
        <family val="2"/>
        <charset val="129"/>
      </rPr>
      <t>원</t>
    </r>
    <r>
      <rPr>
        <b/>
        <sz val="9"/>
        <color indexed="8"/>
        <rFont val="Arial"/>
        <family val="2"/>
      </rPr>
      <t>)</t>
    </r>
    <phoneticPr fontId="3" type="noConversion"/>
  </si>
  <si>
    <r>
      <t>(</t>
    </r>
    <r>
      <rPr>
        <b/>
        <sz val="9"/>
        <color rgb="FF000000"/>
        <rFont val="맑은 고딕"/>
        <family val="3"/>
        <charset val="129"/>
      </rPr>
      <t>지배기업주주지분</t>
    </r>
    <r>
      <rPr>
        <b/>
        <sz val="9"/>
        <color rgb="FF000000"/>
        <rFont val="Arial"/>
        <family val="2"/>
      </rPr>
      <t>)</t>
    </r>
    <r>
      <rPr>
        <b/>
        <sz val="9"/>
        <color rgb="FF000000"/>
        <rFont val="맑은 고딕"/>
        <family val="3"/>
        <charset val="129"/>
      </rPr>
      <t>희석주당순손익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rgb="FF000000"/>
        <rFont val="맑은 고딕"/>
        <family val="2"/>
        <charset val="129"/>
      </rPr>
      <t>원</t>
    </r>
    <r>
      <rPr>
        <b/>
        <sz val="9"/>
        <color indexed="8"/>
        <rFont val="Arial"/>
        <family val="2"/>
      </rPr>
      <t>)</t>
    </r>
    <phoneticPr fontId="3" type="noConversion"/>
  </si>
  <si>
    <t>대한항공 재무상태표 공통형 분석</t>
    <phoneticPr fontId="3" type="noConversion"/>
  </si>
  <si>
    <r>
      <rPr>
        <sz val="11"/>
        <color theme="1"/>
        <rFont val="맑은 고딕"/>
        <family val="2"/>
        <charset val="129"/>
      </rPr>
      <t>금액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단위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맑은 고딕"/>
        <family val="2"/>
        <charset val="129"/>
      </rPr>
      <t>억원</t>
    </r>
    <r>
      <rPr>
        <sz val="11"/>
        <color theme="1"/>
        <rFont val="Arial"/>
        <family val="2"/>
      </rPr>
      <t>) (</t>
    </r>
    <r>
      <rPr>
        <sz val="11"/>
        <color theme="1"/>
        <rFont val="맑은 고딕"/>
        <family val="2"/>
        <charset val="129"/>
      </rPr>
      <t>단위가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원인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경우는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표기</t>
    </r>
    <r>
      <rPr>
        <sz val="11"/>
        <color theme="1"/>
        <rFont val="Arial"/>
        <family val="2"/>
      </rPr>
      <t>)</t>
    </r>
    <phoneticPr fontId="3" type="noConversion"/>
  </si>
  <si>
    <r>
      <t>(</t>
    </r>
    <r>
      <rPr>
        <b/>
        <sz val="9"/>
        <color rgb="FF000000"/>
        <rFont val="맑은 고딕"/>
        <family val="3"/>
        <charset val="129"/>
      </rPr>
      <t>지배기업주주지분</t>
    </r>
    <r>
      <rPr>
        <b/>
        <sz val="9"/>
        <color rgb="FF000000"/>
        <rFont val="Arial"/>
        <family val="2"/>
      </rPr>
      <t>)</t>
    </r>
    <r>
      <rPr>
        <b/>
        <sz val="9"/>
        <color rgb="FF000000"/>
        <rFont val="맑은 고딕"/>
        <family val="3"/>
        <charset val="129"/>
      </rPr>
      <t>주당계속영업이익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rgb="FF000000"/>
        <rFont val="맑은 고딕"/>
        <family val="2"/>
        <charset val="129"/>
      </rPr>
      <t>원</t>
    </r>
    <r>
      <rPr>
        <b/>
        <sz val="9"/>
        <color rgb="FF000000"/>
        <rFont val="Arial"/>
        <family val="2"/>
      </rPr>
      <t>)</t>
    </r>
    <phoneticPr fontId="3" type="noConversion"/>
  </si>
  <si>
    <r>
      <rPr>
        <sz val="11"/>
        <color theme="1"/>
        <rFont val="맑은 고딕"/>
        <family val="2"/>
        <charset val="129"/>
      </rPr>
      <t>대한항공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손익계산서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공통형 분석</t>
    </r>
    <phoneticPr fontId="3" type="noConversion"/>
  </si>
  <si>
    <r>
      <t xml:space="preserve">     </t>
    </r>
    <r>
      <rPr>
        <sz val="9"/>
        <color theme="1"/>
        <rFont val="맑은 고딕"/>
        <family val="2"/>
        <charset val="129"/>
      </rPr>
      <t>현금유출이없는비용등가산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</si>
  <si>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퇴직급여</t>
    </r>
  </si>
  <si>
    <r>
      <t xml:space="preserve">          </t>
    </r>
    <r>
      <rPr>
        <sz val="9"/>
        <color theme="1"/>
        <rFont val="맑은 고딕"/>
        <family val="2"/>
        <charset val="129"/>
      </rPr>
      <t>대손상각비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대손충당금전입액</t>
    </r>
    <r>
      <rPr>
        <sz val="9"/>
        <color theme="1"/>
        <rFont val="Arial"/>
        <family val="2"/>
      </rPr>
      <t>)</t>
    </r>
  </si>
  <si>
    <r>
      <t xml:space="preserve">          </t>
    </r>
    <r>
      <rPr>
        <sz val="9"/>
        <color theme="1"/>
        <rFont val="맑은 고딕"/>
        <family val="2"/>
        <charset val="129"/>
      </rPr>
      <t>무형자산상각비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</si>
  <si>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충당부채전입액</t>
    </r>
  </si>
  <si>
    <r>
      <t xml:space="preserve">          </t>
    </r>
    <r>
      <rPr>
        <sz val="9"/>
        <color theme="1"/>
        <rFont val="맑은 고딕"/>
        <family val="2"/>
        <charset val="129"/>
      </rPr>
      <t>외환손실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</si>
  <si>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기타의대손상각비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대손충당금전입액</t>
    </r>
    <r>
      <rPr>
        <sz val="9"/>
        <color theme="1"/>
        <rFont val="Arial"/>
        <family val="2"/>
      </rPr>
      <t>)</t>
    </r>
  </si>
  <si>
    <r>
      <t xml:space="preserve">          </t>
    </r>
    <r>
      <rPr>
        <sz val="9"/>
        <color theme="1"/>
        <rFont val="맑은 고딕"/>
        <family val="2"/>
        <charset val="129"/>
      </rPr>
      <t>금융자산처분손실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</si>
  <si>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금융자산평가손실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</si>
  <si>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파생상품손실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</si>
  <si>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자산처분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폐기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</rPr>
      <t>손실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</si>
  <si>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자산손상차손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</si>
  <si>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지분법관련손실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</si>
  <si>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법인세비용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</si>
  <si>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기타비용</t>
    </r>
    <r>
      <rPr>
        <sz val="9"/>
        <color theme="1"/>
        <rFont val="Arial"/>
        <family val="2"/>
      </rPr>
      <t>(*)</t>
    </r>
  </si>
  <si>
    <r>
      <t xml:space="preserve">     (</t>
    </r>
    <r>
      <rPr>
        <sz val="9"/>
        <color theme="1"/>
        <rFont val="맑은 고딕"/>
        <family val="2"/>
        <charset val="129"/>
      </rPr>
      <t>현금유입이없는수익등차감</t>
    </r>
    <r>
      <rPr>
        <sz val="9"/>
        <color theme="1"/>
        <rFont val="Arial"/>
        <family val="2"/>
      </rPr>
      <t>)(*)</t>
    </r>
  </si>
  <si>
    <r>
      <t xml:space="preserve">          </t>
    </r>
    <r>
      <rPr>
        <sz val="9"/>
        <color theme="1"/>
        <rFont val="맑은 고딕"/>
        <family val="2"/>
        <charset val="129"/>
      </rPr>
      <t>외환이익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</si>
  <si>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대손충당금환입액</t>
    </r>
  </si>
  <si>
    <r>
      <t xml:space="preserve">          </t>
    </r>
    <r>
      <rPr>
        <sz val="9"/>
        <color theme="1"/>
        <rFont val="맑은 고딕"/>
        <family val="2"/>
        <charset val="129"/>
      </rPr>
      <t>배당금수익</t>
    </r>
  </si>
  <si>
    <r>
      <t xml:space="preserve">          </t>
    </r>
    <r>
      <rPr>
        <sz val="9"/>
        <color theme="1"/>
        <rFont val="맑은 고딕"/>
        <family val="2"/>
        <charset val="129"/>
      </rPr>
      <t>금융자산처분이익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</si>
  <si>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금융자산평가이익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</si>
  <si>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파생상품이익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</si>
  <si>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자산처분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폐기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</rPr>
      <t>이익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</si>
  <si>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자산재평가이익</t>
    </r>
  </si>
  <si>
    <r>
      <t xml:space="preserve">          </t>
    </r>
    <r>
      <rPr>
        <sz val="9"/>
        <color theme="1"/>
        <rFont val="맑은 고딕"/>
        <family val="2"/>
        <charset val="129"/>
      </rPr>
      <t>자산손상차손환입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</si>
  <si>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지분법관련이익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</si>
  <si>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기타수익</t>
    </r>
    <r>
      <rPr>
        <sz val="9"/>
        <color theme="1"/>
        <rFont val="Arial"/>
        <family val="2"/>
      </rPr>
      <t>(*)</t>
    </r>
  </si>
  <si>
    <r>
      <t xml:space="preserve">     </t>
    </r>
    <r>
      <rPr>
        <sz val="9"/>
        <color theme="1"/>
        <rFont val="맑은 고딕"/>
        <family val="2"/>
        <charset val="129"/>
      </rPr>
      <t>영업활동으로인한자산부채변동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운전자본변동</t>
    </r>
    <r>
      <rPr>
        <sz val="9"/>
        <color theme="1"/>
        <rFont val="Arial"/>
        <family val="2"/>
      </rPr>
      <t>)(*)</t>
    </r>
  </si>
  <si>
    <r>
      <t xml:space="preserve">          </t>
    </r>
    <r>
      <rPr>
        <sz val="9"/>
        <color theme="1"/>
        <rFont val="맑은 고딕"/>
        <family val="2"/>
        <charset val="129"/>
      </rPr>
      <t>자산의감소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증가</t>
    </r>
    <r>
      <rPr>
        <sz val="9"/>
        <color theme="1"/>
        <rFont val="Arial"/>
        <family val="2"/>
      </rPr>
      <t>)(*)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</si>
  <si>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매출채권의감소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증가</t>
    </r>
    <r>
      <rPr>
        <sz val="9"/>
        <color theme="1"/>
        <rFont val="Arial"/>
        <family val="2"/>
      </rPr>
      <t>)(*)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</si>
  <si>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미청구공사의감소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증가</t>
    </r>
    <r>
      <rPr>
        <sz val="9"/>
        <color theme="1"/>
        <rFont val="Arial"/>
        <family val="2"/>
      </rPr>
      <t>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</si>
  <si>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기타채권의감소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증가</t>
    </r>
    <r>
      <rPr>
        <sz val="9"/>
        <color theme="1"/>
        <rFont val="Arial"/>
        <family val="2"/>
      </rPr>
      <t>)(*)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</si>
  <si>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재고자산의감소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증가</t>
    </r>
    <r>
      <rPr>
        <sz val="9"/>
        <color theme="1"/>
        <rFont val="Arial"/>
        <family val="2"/>
      </rPr>
      <t>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</si>
  <si>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기타자산의감소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증가</t>
    </r>
    <r>
      <rPr>
        <sz val="9"/>
        <color theme="1"/>
        <rFont val="Arial"/>
        <family val="2"/>
      </rPr>
      <t>)(*)</t>
    </r>
  </si>
  <si>
    <r>
      <t xml:space="preserve">          </t>
    </r>
    <r>
      <rPr>
        <sz val="9"/>
        <color theme="1"/>
        <rFont val="맑은 고딕"/>
        <family val="2"/>
        <charset val="129"/>
      </rPr>
      <t>부채의증가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감소</t>
    </r>
    <r>
      <rPr>
        <sz val="9"/>
        <color theme="1"/>
        <rFont val="Arial"/>
        <family val="2"/>
      </rPr>
      <t>)(*)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</si>
  <si>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매입채무의증가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감소</t>
    </r>
    <r>
      <rPr>
        <sz val="9"/>
        <color theme="1"/>
        <rFont val="Arial"/>
        <family val="2"/>
      </rPr>
      <t>)(*)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</si>
  <si>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초과청구공사의증가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감소</t>
    </r>
    <r>
      <rPr>
        <sz val="9"/>
        <color theme="1"/>
        <rFont val="Arial"/>
        <family val="2"/>
      </rPr>
      <t>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</si>
  <si>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기타채무의증가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감소</t>
    </r>
    <r>
      <rPr>
        <sz val="9"/>
        <color theme="1"/>
        <rFont val="Arial"/>
        <family val="2"/>
      </rPr>
      <t>)(*)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</si>
  <si>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충당부채의증가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감소</t>
    </r>
    <r>
      <rPr>
        <sz val="9"/>
        <color theme="1"/>
        <rFont val="Arial"/>
        <family val="2"/>
      </rPr>
      <t>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</si>
  <si>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퇴직급여채무의증가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감소</t>
    </r>
    <r>
      <rPr>
        <sz val="9"/>
        <color theme="1"/>
        <rFont val="Arial"/>
        <family val="2"/>
      </rPr>
      <t>)(*)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</si>
  <si>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기타부채의증가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</rPr>
      <t>감소</t>
    </r>
    <r>
      <rPr>
        <sz val="9"/>
        <color theme="1"/>
        <rFont val="Arial"/>
        <family val="2"/>
      </rPr>
      <t>)(*)</t>
    </r>
  </si>
  <si>
    <r>
      <t xml:space="preserve">          </t>
    </r>
    <r>
      <rPr>
        <sz val="9"/>
        <color theme="1"/>
        <rFont val="맑은 고딕"/>
        <family val="2"/>
        <charset val="129"/>
      </rPr>
      <t>정부보조금등의변동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</si>
  <si>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기타운전자본의변동</t>
    </r>
  </si>
  <si>
    <r>
      <t xml:space="preserve">     *</t>
    </r>
    <r>
      <rPr>
        <sz val="9"/>
        <color theme="1"/>
        <rFont val="맑은 고딕"/>
        <family val="2"/>
        <charset val="129"/>
      </rPr>
      <t>영업에서창출된현금흐름</t>
    </r>
  </si>
  <si>
    <r>
      <t xml:space="preserve">     </t>
    </r>
    <r>
      <rPr>
        <sz val="9"/>
        <color theme="1"/>
        <rFont val="맑은 고딕"/>
        <family val="2"/>
        <charset val="129"/>
      </rPr>
      <t>이자수입</t>
    </r>
  </si>
  <si>
    <r>
      <t xml:space="preserve">     </t>
    </r>
    <r>
      <rPr>
        <sz val="9"/>
        <color theme="1"/>
        <rFont val="맑은 고딕"/>
        <family val="2"/>
        <charset val="129"/>
      </rPr>
      <t>배당금수입</t>
    </r>
  </si>
  <si>
    <r>
      <t xml:space="preserve">     </t>
    </r>
    <r>
      <rPr>
        <sz val="9"/>
        <color theme="1"/>
        <rFont val="맑은 고딕"/>
        <family val="2"/>
        <charset val="129"/>
      </rPr>
      <t>투자활동으로인한현금유입액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</si>
  <si>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유동금융자산의감소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</si>
  <si>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장기금융상품의감소</t>
    </r>
  </si>
  <si>
    <r>
      <t xml:space="preserve">          </t>
    </r>
    <r>
      <rPr>
        <sz val="9"/>
        <color theme="1"/>
        <rFont val="맑은 고딕"/>
        <family val="2"/>
        <charset val="129"/>
      </rPr>
      <t>장기대여금의감소</t>
    </r>
  </si>
  <si>
    <r>
      <t xml:space="preserve">          </t>
    </r>
    <r>
      <rPr>
        <sz val="9"/>
        <color theme="1"/>
        <rFont val="맑은 고딕"/>
        <family val="2"/>
        <charset val="129"/>
      </rPr>
      <t>파생상품의변동</t>
    </r>
  </si>
  <si>
    <r>
      <t xml:space="preserve">          </t>
    </r>
    <r>
      <rPr>
        <sz val="9"/>
        <color theme="1"/>
        <rFont val="맑은 고딕"/>
        <family val="2"/>
        <charset val="129"/>
      </rPr>
      <t>유형자산의감소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</si>
  <si>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기타유형자산의감소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</si>
  <si>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무형자산의감소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</si>
  <si>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기타무형자산의감소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</si>
  <si>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기타투자활동으로인한현금유입액</t>
    </r>
    <r>
      <rPr>
        <sz val="9"/>
        <color theme="1"/>
        <rFont val="Arial"/>
        <family val="2"/>
      </rPr>
      <t>(*)</t>
    </r>
  </si>
  <si>
    <r>
      <t xml:space="preserve">     (</t>
    </r>
    <r>
      <rPr>
        <sz val="9"/>
        <color theme="1"/>
        <rFont val="맑은 고딕"/>
        <family val="2"/>
        <charset val="129"/>
      </rPr>
      <t>투자활동으로인한현금유출액</t>
    </r>
    <r>
      <rPr>
        <sz val="9"/>
        <color theme="1"/>
        <rFont val="Arial"/>
        <family val="2"/>
      </rPr>
      <t>)(*)</t>
    </r>
  </si>
  <si>
    <r>
      <t xml:space="preserve">          </t>
    </r>
    <r>
      <rPr>
        <sz val="9"/>
        <color theme="1"/>
        <rFont val="맑은 고딕"/>
        <family val="2"/>
        <charset val="129"/>
      </rPr>
      <t>유동금융자산의증가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</si>
  <si>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장기대여금의증가</t>
    </r>
  </si>
  <si>
    <r>
      <t xml:space="preserve">          </t>
    </r>
    <r>
      <rPr>
        <sz val="9"/>
        <color theme="1"/>
        <rFont val="맑은 고딕"/>
        <family val="2"/>
        <charset val="129"/>
      </rPr>
      <t>관계기업등지분관련투자자산의증가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</si>
  <si>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관계기업투자의증가</t>
    </r>
  </si>
  <si>
    <r>
      <t xml:space="preserve">          </t>
    </r>
    <r>
      <rPr>
        <sz val="9"/>
        <color theme="1"/>
        <rFont val="맑은 고딕"/>
        <family val="2"/>
        <charset val="129"/>
      </rPr>
      <t>유형자산의증가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</si>
  <si>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기타유형자산의증가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</si>
  <si>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무형자산의증가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</si>
  <si>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기타무형자산의증가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</si>
  <si>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기타투자활동으로인한현금유출액</t>
    </r>
    <r>
      <rPr>
        <sz val="9"/>
        <color theme="1"/>
        <rFont val="Arial"/>
        <family val="2"/>
      </rPr>
      <t>(*)</t>
    </r>
  </si>
  <si>
    <r>
      <t xml:space="preserve">     </t>
    </r>
    <r>
      <rPr>
        <sz val="9"/>
        <color theme="1"/>
        <rFont val="맑은 고딕"/>
        <family val="2"/>
        <charset val="129"/>
      </rPr>
      <t>재무활동으로인한현금유입액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</si>
  <si>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사채의증가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</si>
  <si>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장기사채의증가</t>
    </r>
  </si>
  <si>
    <r>
      <t xml:space="preserve">          </t>
    </r>
    <r>
      <rPr>
        <sz val="9"/>
        <color theme="1"/>
        <rFont val="맑은 고딕"/>
        <family val="2"/>
        <charset val="129"/>
      </rPr>
      <t>차입금의증가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</si>
  <si>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단기차입금의증가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</si>
  <si>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장기차입금의증가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</si>
  <si>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기타금융부채의증가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</si>
  <si>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유상증자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</si>
  <si>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기타재무활동으로인한현금유입액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</si>
  <si>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기타</t>
    </r>
  </si>
  <si>
    <r>
      <t xml:space="preserve">     (</t>
    </r>
    <r>
      <rPr>
        <sz val="9"/>
        <color theme="1"/>
        <rFont val="맑은 고딕"/>
        <family val="2"/>
        <charset val="129"/>
      </rPr>
      <t>재무활동으로인한현금유출액</t>
    </r>
    <r>
      <rPr>
        <sz val="9"/>
        <color theme="1"/>
        <rFont val="Arial"/>
        <family val="2"/>
      </rPr>
      <t>)(*)</t>
    </r>
  </si>
  <si>
    <r>
      <t xml:space="preserve">          </t>
    </r>
    <r>
      <rPr>
        <sz val="9"/>
        <color theme="1"/>
        <rFont val="맑은 고딕"/>
        <family val="2"/>
        <charset val="129"/>
      </rPr>
      <t>차입금의감소</t>
    </r>
    <r>
      <rPr>
        <sz val="9"/>
        <color theme="1"/>
        <rFont val="Arial"/>
        <family val="2"/>
      </rPr>
      <t>(*)</t>
    </r>
  </si>
  <si>
    <r>
      <t xml:space="preserve">               </t>
    </r>
    <r>
      <rPr>
        <sz val="9"/>
        <color theme="1"/>
        <rFont val="맑은 고딕"/>
        <family val="2"/>
        <charset val="129"/>
      </rPr>
      <t>단기차입금의감소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</si>
  <si>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유동성장기부채의감소</t>
    </r>
    <r>
      <rPr>
        <sz val="9"/>
        <color theme="1"/>
        <rFont val="Arial"/>
        <family val="2"/>
      </rPr>
      <t>(*)</t>
    </r>
  </si>
  <si>
    <r>
      <t xml:space="preserve">          </t>
    </r>
    <r>
      <rPr>
        <sz val="9"/>
        <color theme="1"/>
        <rFont val="맑은 고딕"/>
        <family val="2"/>
        <charset val="129"/>
      </rPr>
      <t>기타재무활동으로인한현금유출액</t>
    </r>
    <r>
      <rPr>
        <sz val="9"/>
        <color theme="1"/>
        <rFont val="Arial"/>
        <family val="2"/>
      </rPr>
      <t>(*)</t>
    </r>
  </si>
  <si>
    <r>
      <t xml:space="preserve">     </t>
    </r>
    <r>
      <rPr>
        <sz val="9"/>
        <color theme="1"/>
        <rFont val="맑은 고딕"/>
        <family val="2"/>
        <charset val="129"/>
      </rPr>
      <t>이자지급</t>
    </r>
    <r>
      <rPr>
        <sz val="9"/>
        <color theme="1"/>
        <rFont val="Arial"/>
        <family val="2"/>
      </rPr>
      <t>(-)</t>
    </r>
  </si>
  <si>
    <r>
      <t xml:space="preserve">     </t>
    </r>
    <r>
      <rPr>
        <sz val="9"/>
        <color theme="1"/>
        <rFont val="맑은 고딕"/>
        <family val="2"/>
        <charset val="129"/>
      </rPr>
      <t>배당금지급</t>
    </r>
    <r>
      <rPr>
        <sz val="9"/>
        <color theme="1"/>
        <rFont val="Arial"/>
        <family val="2"/>
      </rPr>
      <t>(-)</t>
    </r>
  </si>
  <si>
    <r>
      <rPr>
        <b/>
        <sz val="9"/>
        <color theme="1"/>
        <rFont val="맑은 고딕"/>
        <family val="2"/>
        <charset val="129"/>
      </rPr>
      <t>대한항공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현금흐름표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공통형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분석</t>
    </r>
    <phoneticPr fontId="3" type="noConversion"/>
  </si>
  <si>
    <r>
      <rPr>
        <b/>
        <sz val="9"/>
        <color theme="1"/>
        <rFont val="맑은 고딕"/>
        <family val="2"/>
        <charset val="129"/>
      </rPr>
      <t>금액</t>
    </r>
    <r>
      <rPr>
        <b/>
        <sz val="9"/>
        <color theme="1"/>
        <rFont val="Arial"/>
        <family val="2"/>
      </rPr>
      <t xml:space="preserve"> (</t>
    </r>
    <r>
      <rPr>
        <b/>
        <sz val="9"/>
        <color theme="1"/>
        <rFont val="맑은 고딕"/>
        <family val="2"/>
        <charset val="129"/>
      </rPr>
      <t>단위</t>
    </r>
    <r>
      <rPr>
        <b/>
        <sz val="9"/>
        <color theme="1"/>
        <rFont val="Arial"/>
        <family val="2"/>
      </rPr>
      <t xml:space="preserve">: </t>
    </r>
    <r>
      <rPr>
        <b/>
        <sz val="9"/>
        <color theme="1"/>
        <rFont val="맑은 고딕"/>
        <family val="2"/>
        <charset val="129"/>
      </rPr>
      <t>억원</t>
    </r>
    <r>
      <rPr>
        <b/>
        <sz val="9"/>
        <color theme="1"/>
        <rFont val="Arial"/>
        <family val="2"/>
      </rPr>
      <t>)</t>
    </r>
    <phoneticPr fontId="3" type="noConversion"/>
  </si>
  <si>
    <r>
      <rPr>
        <b/>
        <sz val="9"/>
        <color theme="1"/>
        <rFont val="맑은 고딕"/>
        <family val="2"/>
        <charset val="129"/>
      </rPr>
      <t>계정명</t>
    </r>
  </si>
  <si>
    <r>
      <rPr>
        <b/>
        <sz val="9"/>
        <color theme="1"/>
        <rFont val="맑은 고딕"/>
        <family val="2"/>
        <charset val="129"/>
      </rPr>
      <t>영업활동으로인한현금흐름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맑은 고딕"/>
        <family val="2"/>
        <charset val="129"/>
      </rPr>
      <t>간접법</t>
    </r>
    <r>
      <rPr>
        <b/>
        <sz val="9"/>
        <color theme="1"/>
        <rFont val="Arial"/>
        <family val="2"/>
      </rPr>
      <t>)(*)</t>
    </r>
  </si>
  <si>
    <r>
      <rPr>
        <b/>
        <sz val="9"/>
        <color theme="1"/>
        <rFont val="맑은 고딕"/>
        <family val="2"/>
        <charset val="129"/>
      </rPr>
      <t>투자활동으로인한현금흐름</t>
    </r>
    <r>
      <rPr>
        <b/>
        <sz val="9"/>
        <color theme="1"/>
        <rFont val="Arial"/>
        <family val="2"/>
      </rPr>
      <t>(*)</t>
    </r>
  </si>
  <si>
    <r>
      <rPr>
        <b/>
        <sz val="9"/>
        <color theme="1"/>
        <rFont val="맑은 고딕"/>
        <family val="2"/>
        <charset val="129"/>
      </rPr>
      <t>재무활동으로인한현금흐름</t>
    </r>
    <r>
      <rPr>
        <b/>
        <sz val="9"/>
        <color theme="1"/>
        <rFont val="Arial"/>
        <family val="2"/>
      </rPr>
      <t>(*)</t>
    </r>
  </si>
  <si>
    <t>당기순손익</t>
    <phoneticPr fontId="3" type="noConversion"/>
  </si>
  <si>
    <r>
      <t xml:space="preserve">     </t>
    </r>
    <r>
      <rPr>
        <b/>
        <sz val="9"/>
        <color theme="1"/>
        <rFont val="맑은 고딕"/>
        <family val="2"/>
        <charset val="129"/>
      </rPr>
      <t>당기순손익</t>
    </r>
  </si>
  <si>
    <r>
      <t xml:space="preserve">          </t>
    </r>
    <r>
      <rPr>
        <b/>
        <sz val="9"/>
        <color theme="1"/>
        <rFont val="맑은 고딕"/>
        <family val="2"/>
        <charset val="129"/>
      </rPr>
      <t>감가상각비</t>
    </r>
  </si>
  <si>
    <r>
      <t xml:space="preserve">          </t>
    </r>
    <r>
      <rPr>
        <b/>
        <sz val="9"/>
        <color theme="1"/>
        <rFont val="맑은 고딕"/>
        <family val="2"/>
        <charset val="129"/>
      </rPr>
      <t>이자수익</t>
    </r>
  </si>
  <si>
    <r>
      <t xml:space="preserve">          </t>
    </r>
    <r>
      <rPr>
        <b/>
        <sz val="9"/>
        <color theme="1"/>
        <rFont val="맑은 고딕"/>
        <family val="2"/>
        <charset val="129"/>
      </rPr>
      <t>이자비용</t>
    </r>
    <r>
      <rPr>
        <b/>
        <sz val="9"/>
        <color theme="1"/>
        <rFont val="Arial"/>
        <family val="2"/>
      </rPr>
      <t>(*)</t>
    </r>
  </si>
  <si>
    <r>
      <t xml:space="preserve">     </t>
    </r>
    <r>
      <rPr>
        <b/>
        <sz val="9"/>
        <color theme="1"/>
        <rFont val="맑은 고딕"/>
        <family val="2"/>
        <charset val="129"/>
      </rPr>
      <t>법인세납부</t>
    </r>
    <r>
      <rPr>
        <b/>
        <sz val="9"/>
        <color theme="1"/>
        <rFont val="Arial"/>
        <family val="2"/>
      </rPr>
      <t>(-)</t>
    </r>
  </si>
  <si>
    <r>
      <rPr>
        <b/>
        <sz val="9"/>
        <color theme="1"/>
        <rFont val="맑은 고딕"/>
        <family val="2"/>
        <charset val="129"/>
      </rPr>
      <t>영업활동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현금흐름</t>
    </r>
    <phoneticPr fontId="3" type="noConversion"/>
  </si>
  <si>
    <r>
      <rPr>
        <b/>
        <sz val="9"/>
        <color theme="1"/>
        <rFont val="맑은 고딕"/>
        <family val="2"/>
        <charset val="129"/>
      </rPr>
      <t>투자활동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현금흐름</t>
    </r>
    <phoneticPr fontId="3" type="noConversion"/>
  </si>
  <si>
    <r>
      <rPr>
        <b/>
        <sz val="9"/>
        <color theme="1"/>
        <rFont val="맑은 고딕"/>
        <family val="2"/>
        <charset val="129"/>
      </rPr>
      <t>재무활동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현금흐름</t>
    </r>
    <phoneticPr fontId="3" type="noConversion"/>
  </si>
  <si>
    <r>
      <rPr>
        <b/>
        <sz val="9"/>
        <color theme="1"/>
        <rFont val="맑은 고딕"/>
        <family val="2"/>
        <charset val="129"/>
      </rPr>
      <t>감가상각비</t>
    </r>
    <phoneticPr fontId="3" type="noConversion"/>
  </si>
  <si>
    <r>
      <rPr>
        <b/>
        <sz val="9"/>
        <color theme="1"/>
        <rFont val="맑은 고딕"/>
        <family val="2"/>
        <charset val="129"/>
      </rPr>
      <t>이자비용</t>
    </r>
    <phoneticPr fontId="3" type="noConversion"/>
  </si>
  <si>
    <r>
      <rPr>
        <b/>
        <sz val="9"/>
        <color theme="1"/>
        <rFont val="맑은 고딕"/>
        <family val="2"/>
        <charset val="129"/>
      </rPr>
      <t>이자수익</t>
    </r>
    <phoneticPr fontId="3" type="noConversion"/>
  </si>
  <si>
    <r>
      <rPr>
        <b/>
        <sz val="9"/>
        <color theme="1"/>
        <rFont val="맑은 고딕"/>
        <family val="2"/>
        <charset val="129"/>
      </rPr>
      <t>법인세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납부</t>
    </r>
    <phoneticPr fontId="3" type="noConversion"/>
  </si>
  <si>
    <r>
      <rPr>
        <b/>
        <sz val="9"/>
        <color theme="1"/>
        <rFont val="맑은 고딕"/>
        <family val="2"/>
        <charset val="129"/>
      </rPr>
      <t>현금의변화</t>
    </r>
    <phoneticPr fontId="3" type="noConversion"/>
  </si>
  <si>
    <r>
      <rPr>
        <b/>
        <sz val="9"/>
        <color theme="1"/>
        <rFont val="맑은 고딕"/>
        <family val="3"/>
        <charset val="129"/>
      </rPr>
      <t>매출액</t>
    </r>
    <phoneticPr fontId="3" type="noConversion"/>
  </si>
  <si>
    <r>
      <rPr>
        <b/>
        <sz val="9"/>
        <color theme="1"/>
        <rFont val="맑은 고딕"/>
        <family val="2"/>
        <charset val="129"/>
      </rPr>
      <t>매출원가</t>
    </r>
    <phoneticPr fontId="3" type="noConversion"/>
  </si>
  <si>
    <r>
      <rPr>
        <b/>
        <sz val="9"/>
        <color theme="1"/>
        <rFont val="맑은 고딕"/>
        <family val="2"/>
        <charset val="129"/>
      </rPr>
      <t>매출총이익</t>
    </r>
    <phoneticPr fontId="3" type="noConversion"/>
  </si>
  <si>
    <r>
      <rPr>
        <b/>
        <sz val="9"/>
        <color theme="1"/>
        <rFont val="맑은 고딕"/>
        <family val="2"/>
        <charset val="129"/>
      </rPr>
      <t>판매비와관리비</t>
    </r>
    <phoneticPr fontId="3" type="noConversion"/>
  </si>
  <si>
    <r>
      <rPr>
        <b/>
        <sz val="9"/>
        <color theme="1"/>
        <rFont val="맑은 고딕"/>
        <family val="2"/>
        <charset val="129"/>
      </rPr>
      <t>영업이익</t>
    </r>
    <phoneticPr fontId="3" type="noConversion"/>
  </si>
  <si>
    <r>
      <rPr>
        <b/>
        <sz val="9"/>
        <color theme="1"/>
        <rFont val="맑은 고딕"/>
        <family val="2"/>
        <charset val="129"/>
      </rPr>
      <t>금융수익</t>
    </r>
    <phoneticPr fontId="3" type="noConversion"/>
  </si>
  <si>
    <r>
      <rPr>
        <b/>
        <sz val="9"/>
        <color theme="1"/>
        <rFont val="맑은 고딕"/>
        <family val="2"/>
        <charset val="129"/>
      </rPr>
      <t>금융원가</t>
    </r>
    <phoneticPr fontId="3" type="noConversion"/>
  </si>
  <si>
    <r>
      <rPr>
        <b/>
        <sz val="9"/>
        <color theme="1"/>
        <rFont val="맑은 고딕"/>
        <family val="2"/>
        <charset val="129"/>
      </rPr>
      <t>기타수익</t>
    </r>
    <phoneticPr fontId="3" type="noConversion"/>
  </si>
  <si>
    <r>
      <rPr>
        <b/>
        <sz val="9"/>
        <color theme="1"/>
        <rFont val="맑은 고딕"/>
        <family val="2"/>
        <charset val="129"/>
      </rPr>
      <t>기타비용</t>
    </r>
    <phoneticPr fontId="3" type="noConversion"/>
  </si>
  <si>
    <r>
      <rPr>
        <b/>
        <sz val="9"/>
        <color theme="1"/>
        <rFont val="맑은 고딕"/>
        <family val="2"/>
        <charset val="129"/>
      </rPr>
      <t>계속영업이익</t>
    </r>
    <phoneticPr fontId="3" type="noConversion"/>
  </si>
  <si>
    <r>
      <rPr>
        <b/>
        <sz val="9"/>
        <color theme="1"/>
        <rFont val="맑은 고딕"/>
        <family val="2"/>
        <charset val="129"/>
      </rPr>
      <t>당기순이익</t>
    </r>
    <phoneticPr fontId="3" type="noConversion"/>
  </si>
  <si>
    <r>
      <rPr>
        <b/>
        <sz val="9"/>
        <color theme="1"/>
        <rFont val="맑은 고딕"/>
        <family val="2"/>
        <charset val="129"/>
      </rPr>
      <t>계정명</t>
    </r>
    <phoneticPr fontId="3" type="noConversion"/>
  </si>
  <si>
    <r>
      <rPr>
        <b/>
        <sz val="9"/>
        <color theme="1"/>
        <rFont val="맑은 고딕"/>
        <family val="2"/>
        <charset val="129"/>
      </rPr>
      <t>부채비율</t>
    </r>
    <phoneticPr fontId="3" type="noConversion"/>
  </si>
  <si>
    <r>
      <rPr>
        <b/>
        <sz val="9"/>
        <color theme="1"/>
        <rFont val="맑은 고딕"/>
        <family val="2"/>
        <charset val="129"/>
      </rPr>
      <t>유동비율</t>
    </r>
    <phoneticPr fontId="3" type="noConversion"/>
  </si>
  <si>
    <r>
      <rPr>
        <b/>
        <sz val="9"/>
        <color theme="1"/>
        <rFont val="맑은 고딕"/>
        <family val="2"/>
        <charset val="129"/>
      </rPr>
      <t>당좌비율</t>
    </r>
    <phoneticPr fontId="3" type="noConversion"/>
  </si>
  <si>
    <r>
      <rPr>
        <b/>
        <sz val="9"/>
        <color theme="1"/>
        <rFont val="맑은 고딕"/>
        <family val="2"/>
        <charset val="129"/>
      </rPr>
      <t>차입금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2"/>
        <charset val="129"/>
      </rPr>
      <t>의존도</t>
    </r>
    <phoneticPr fontId="3" type="noConversion"/>
  </si>
  <si>
    <r>
      <rPr>
        <b/>
        <sz val="9"/>
        <color theme="1"/>
        <rFont val="맑은 고딕"/>
        <family val="2"/>
        <charset val="129"/>
      </rPr>
      <t>순차입금</t>
    </r>
    <phoneticPr fontId="3" type="noConversion"/>
  </si>
  <si>
    <t>법인세비용차감전이익</t>
    <phoneticPr fontId="3" type="noConversion"/>
  </si>
  <si>
    <t>ROA</t>
    <phoneticPr fontId="3" type="noConversion"/>
  </si>
  <si>
    <t>ROE</t>
    <phoneticPr fontId="3" type="noConversion"/>
  </si>
  <si>
    <t>재고자산회전율</t>
    <phoneticPr fontId="3" type="noConversion"/>
  </si>
  <si>
    <t>매출채권회전율</t>
    <phoneticPr fontId="3" type="noConversion"/>
  </si>
  <si>
    <t>PE</t>
    <phoneticPr fontId="3" type="noConversion"/>
  </si>
  <si>
    <t>PS</t>
    <phoneticPr fontId="3" type="noConversion"/>
  </si>
  <si>
    <t>PBR</t>
    <phoneticPr fontId="3" type="noConversion"/>
  </si>
  <si>
    <t>Tobin's Q</t>
    <phoneticPr fontId="3" type="noConversion"/>
  </si>
  <si>
    <t>EV/EBITDA</t>
    <phoneticPr fontId="3" type="noConversion"/>
  </si>
  <si>
    <t>2020 KE</t>
    <phoneticPr fontId="3" type="noConversion"/>
  </si>
  <si>
    <t>2020 OZ</t>
    <phoneticPr fontId="3" type="noConversion"/>
  </si>
  <si>
    <t>2021 KE</t>
    <phoneticPr fontId="3" type="noConversion"/>
  </si>
  <si>
    <t>2021 OZ</t>
    <phoneticPr fontId="3" type="noConversion"/>
  </si>
  <si>
    <t>2022 KE</t>
    <phoneticPr fontId="3" type="noConversion"/>
  </si>
  <si>
    <t>2022 OZ</t>
    <phoneticPr fontId="3" type="noConversion"/>
  </si>
  <si>
    <t>2023 KE</t>
    <phoneticPr fontId="3" type="noConversion"/>
  </si>
  <si>
    <t>2023 OZ</t>
    <phoneticPr fontId="3" type="noConversion"/>
  </si>
  <si>
    <t>X1</t>
    <phoneticPr fontId="3" type="noConversion"/>
  </si>
  <si>
    <t>X2</t>
    <phoneticPr fontId="3" type="noConversion"/>
  </si>
  <si>
    <t>X3</t>
    <phoneticPr fontId="3" type="noConversion"/>
  </si>
  <si>
    <t>X4</t>
    <phoneticPr fontId="3" type="noConversion"/>
  </si>
  <si>
    <t>X5</t>
    <phoneticPr fontId="3" type="noConversion"/>
  </si>
  <si>
    <t>Altman Z Score</t>
    <phoneticPr fontId="3" type="noConversion"/>
  </si>
  <si>
    <t>Beta</t>
    <phoneticPr fontId="3" type="noConversion"/>
  </si>
  <si>
    <t>2020-2022</t>
    <phoneticPr fontId="3" type="noConversion"/>
  </si>
  <si>
    <t>2021-2023</t>
    <phoneticPr fontId="3" type="noConversion"/>
  </si>
  <si>
    <t>2022-2024</t>
    <phoneticPr fontId="3" type="noConversion"/>
  </si>
  <si>
    <t>2020-2024</t>
    <phoneticPr fontId="3" type="noConversion"/>
  </si>
  <si>
    <r>
      <rPr>
        <b/>
        <sz val="11"/>
        <color theme="1"/>
        <rFont val="맑은 고딕"/>
        <family val="3"/>
        <charset val="129"/>
      </rPr>
      <t>대한항공</t>
    </r>
    <phoneticPr fontId="3" type="noConversion"/>
  </si>
  <si>
    <r>
      <rPr>
        <b/>
        <sz val="11"/>
        <color theme="1"/>
        <rFont val="맑은 고딕"/>
        <family val="3"/>
        <charset val="129"/>
      </rPr>
      <t>수익성</t>
    </r>
    <phoneticPr fontId="3" type="noConversion"/>
  </si>
  <si>
    <r>
      <rPr>
        <b/>
        <sz val="11"/>
        <color theme="1"/>
        <rFont val="맑은 고딕"/>
        <family val="3"/>
        <charset val="129"/>
      </rPr>
      <t>순이익률</t>
    </r>
    <phoneticPr fontId="3" type="noConversion"/>
  </si>
  <si>
    <r>
      <t xml:space="preserve">EBITDA </t>
    </r>
    <r>
      <rPr>
        <b/>
        <sz val="11"/>
        <color theme="1"/>
        <rFont val="맑은 고딕"/>
        <family val="3"/>
        <charset val="129"/>
      </rPr>
      <t>이익률</t>
    </r>
    <phoneticPr fontId="3" type="noConversion"/>
  </si>
  <si>
    <r>
      <rPr>
        <b/>
        <sz val="11"/>
        <color theme="1"/>
        <rFont val="맑은 고딕"/>
        <family val="3"/>
        <charset val="129"/>
      </rPr>
      <t>효율성</t>
    </r>
    <phoneticPr fontId="3" type="noConversion"/>
  </si>
  <si>
    <r>
      <rPr>
        <b/>
        <sz val="11"/>
        <color theme="1"/>
        <rFont val="맑은 고딕"/>
        <family val="3"/>
        <charset val="129"/>
      </rPr>
      <t>총자산회전율</t>
    </r>
    <phoneticPr fontId="3" type="noConversion"/>
  </si>
  <si>
    <r>
      <rPr>
        <b/>
        <sz val="11"/>
        <color theme="1"/>
        <rFont val="맑은 고딕"/>
        <family val="3"/>
        <charset val="129"/>
      </rPr>
      <t>순운전자본회전율</t>
    </r>
    <phoneticPr fontId="3" type="noConversion"/>
  </si>
  <si>
    <r>
      <rPr>
        <sz val="11"/>
        <color theme="1"/>
        <rFont val="맑은 고딕"/>
        <family val="2"/>
        <charset val="129"/>
      </rPr>
      <t>월별주가</t>
    </r>
    <phoneticPr fontId="3" type="noConversion"/>
  </si>
  <si>
    <r>
      <rPr>
        <b/>
        <sz val="11"/>
        <color theme="1"/>
        <rFont val="맑은 고딕"/>
        <family val="3"/>
        <charset val="129"/>
      </rPr>
      <t>재고자산회전율</t>
    </r>
    <phoneticPr fontId="3" type="noConversion"/>
  </si>
  <si>
    <r>
      <rPr>
        <b/>
        <sz val="11"/>
        <color theme="1"/>
        <rFont val="맑은 고딕"/>
        <family val="3"/>
        <charset val="129"/>
      </rPr>
      <t>재고자산회전일수</t>
    </r>
    <phoneticPr fontId="3" type="noConversion"/>
  </si>
  <si>
    <r>
      <rPr>
        <b/>
        <sz val="11"/>
        <color theme="1"/>
        <rFont val="맑은 고딕"/>
        <family val="3"/>
        <charset val="129"/>
      </rPr>
      <t>매출채권회전율</t>
    </r>
    <phoneticPr fontId="3" type="noConversion"/>
  </si>
  <si>
    <r>
      <rPr>
        <b/>
        <sz val="11"/>
        <color theme="1"/>
        <rFont val="맑은 고딕"/>
        <family val="3"/>
        <charset val="129"/>
      </rPr>
      <t>매출채권회수일수</t>
    </r>
    <phoneticPr fontId="3" type="noConversion"/>
  </si>
  <si>
    <r>
      <rPr>
        <b/>
        <sz val="11"/>
        <color theme="1"/>
        <rFont val="맑은 고딕"/>
        <family val="3"/>
        <charset val="129"/>
      </rPr>
      <t>시장가치</t>
    </r>
    <phoneticPr fontId="3" type="noConversion"/>
  </si>
  <si>
    <r>
      <rPr>
        <sz val="11"/>
        <color theme="1"/>
        <rFont val="맑은 고딕"/>
        <family val="2"/>
        <charset val="129"/>
      </rPr>
      <t>월별수익률</t>
    </r>
    <phoneticPr fontId="3" type="noConversion"/>
  </si>
  <si>
    <r>
      <rPr>
        <b/>
        <sz val="11"/>
        <color theme="1"/>
        <rFont val="맑은 고딕"/>
        <family val="3"/>
        <charset val="129"/>
      </rPr>
      <t>단기지급능력</t>
    </r>
    <phoneticPr fontId="3" type="noConversion"/>
  </si>
  <si>
    <r>
      <rPr>
        <b/>
        <sz val="11"/>
        <color theme="1"/>
        <rFont val="맑은 고딕"/>
        <family val="3"/>
        <charset val="129"/>
      </rPr>
      <t>유동비율</t>
    </r>
    <phoneticPr fontId="3" type="noConversion"/>
  </si>
  <si>
    <r>
      <rPr>
        <b/>
        <sz val="11"/>
        <color theme="1"/>
        <rFont val="맑은 고딕"/>
        <family val="3"/>
        <charset val="129"/>
      </rPr>
      <t>당좌비율</t>
    </r>
    <phoneticPr fontId="3" type="noConversion"/>
  </si>
  <si>
    <r>
      <rPr>
        <b/>
        <sz val="11"/>
        <color theme="1"/>
        <rFont val="맑은 고딕"/>
        <family val="3"/>
        <charset val="129"/>
      </rPr>
      <t>현금비율</t>
    </r>
    <phoneticPr fontId="3" type="noConversion"/>
  </si>
  <si>
    <r>
      <rPr>
        <b/>
        <sz val="11"/>
        <color theme="1"/>
        <rFont val="맑은 고딕"/>
        <family val="3"/>
        <charset val="129"/>
      </rPr>
      <t>장기지급능력</t>
    </r>
    <phoneticPr fontId="3" type="noConversion"/>
  </si>
  <si>
    <r>
      <rPr>
        <b/>
        <sz val="11"/>
        <color theme="1"/>
        <rFont val="맑은 고딕"/>
        <family val="3"/>
        <charset val="129"/>
      </rPr>
      <t>총부채비율</t>
    </r>
    <phoneticPr fontId="3" type="noConversion"/>
  </si>
  <si>
    <r>
      <rPr>
        <b/>
        <sz val="11"/>
        <color theme="1"/>
        <rFont val="맑은 고딕"/>
        <family val="3"/>
        <charset val="129"/>
      </rPr>
      <t>부채비율</t>
    </r>
    <phoneticPr fontId="3" type="noConversion"/>
  </si>
  <si>
    <r>
      <rPr>
        <b/>
        <sz val="11"/>
        <color theme="1"/>
        <rFont val="맑은 고딕"/>
        <family val="3"/>
        <charset val="129"/>
      </rPr>
      <t>장기부채비율</t>
    </r>
    <phoneticPr fontId="3" type="noConversion"/>
  </si>
  <si>
    <r>
      <rPr>
        <b/>
        <sz val="11"/>
        <color theme="1"/>
        <rFont val="맑은 고딕"/>
        <family val="3"/>
        <charset val="129"/>
      </rPr>
      <t>이자보상비율</t>
    </r>
    <phoneticPr fontId="3" type="noConversion"/>
  </si>
  <si>
    <r>
      <rPr>
        <sz val="11"/>
        <color theme="1"/>
        <rFont val="맑은 고딕"/>
        <family val="2"/>
        <charset val="129"/>
      </rPr>
      <t>연평균주가</t>
    </r>
    <phoneticPr fontId="3" type="noConversion"/>
  </si>
  <si>
    <r>
      <rPr>
        <sz val="11"/>
        <color theme="1"/>
        <rFont val="맑은 고딕"/>
        <family val="2"/>
        <charset val="129"/>
      </rPr>
      <t>주식수</t>
    </r>
    <phoneticPr fontId="3" type="noConversion"/>
  </si>
  <si>
    <r>
      <rPr>
        <sz val="11"/>
        <color theme="1"/>
        <rFont val="맑은 고딕"/>
        <family val="2"/>
        <charset val="129"/>
      </rPr>
      <t>시가총액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억원</t>
    </r>
    <r>
      <rPr>
        <sz val="11"/>
        <color theme="1"/>
        <rFont val="Arial"/>
        <family val="2"/>
      </rPr>
      <t>)</t>
    </r>
    <phoneticPr fontId="3" type="noConversion"/>
  </si>
  <si>
    <r>
      <t xml:space="preserve">2020 </t>
    </r>
    <r>
      <rPr>
        <sz val="11"/>
        <color theme="1"/>
        <rFont val="맑은 고딕"/>
        <family val="2"/>
        <charset val="129"/>
      </rPr>
      <t>산업평균</t>
    </r>
    <phoneticPr fontId="3" type="noConversion"/>
  </si>
  <si>
    <r>
      <t xml:space="preserve">2021 </t>
    </r>
    <r>
      <rPr>
        <sz val="11"/>
        <color theme="1"/>
        <rFont val="맑은 고딕"/>
        <family val="2"/>
        <charset val="129"/>
      </rPr>
      <t>산업평균</t>
    </r>
    <phoneticPr fontId="3" type="noConversion"/>
  </si>
  <si>
    <r>
      <t xml:space="preserve">2022 </t>
    </r>
    <r>
      <rPr>
        <sz val="11"/>
        <color theme="1"/>
        <rFont val="맑은 고딕"/>
        <family val="2"/>
        <charset val="129"/>
      </rPr>
      <t>산업평균</t>
    </r>
    <phoneticPr fontId="3" type="noConversion"/>
  </si>
  <si>
    <r>
      <t xml:space="preserve">2023 </t>
    </r>
    <r>
      <rPr>
        <sz val="11"/>
        <color theme="1"/>
        <rFont val="맑은 고딕"/>
        <family val="2"/>
        <charset val="129"/>
      </rPr>
      <t>산업평균</t>
    </r>
    <phoneticPr fontId="3" type="noConversion"/>
  </si>
  <si>
    <r>
      <rPr>
        <sz val="11"/>
        <color theme="1"/>
        <rFont val="맑은 고딕"/>
        <family val="2"/>
        <charset val="129"/>
      </rPr>
      <t>유동비율</t>
    </r>
    <phoneticPr fontId="3" type="noConversion"/>
  </si>
  <si>
    <r>
      <rPr>
        <sz val="11"/>
        <color theme="1"/>
        <rFont val="맑은 고딕"/>
        <family val="2"/>
        <charset val="129"/>
      </rPr>
      <t>당좌비율</t>
    </r>
    <phoneticPr fontId="3" type="noConversion"/>
  </si>
  <si>
    <r>
      <rPr>
        <sz val="11"/>
        <color theme="1"/>
        <rFont val="맑은 고딕"/>
        <family val="2"/>
        <charset val="129"/>
      </rPr>
      <t>부채비율</t>
    </r>
    <phoneticPr fontId="3" type="noConversion"/>
  </si>
  <si>
    <r>
      <rPr>
        <sz val="11"/>
        <color theme="1"/>
        <rFont val="맑은 고딕"/>
        <family val="2"/>
        <charset val="129"/>
      </rPr>
      <t>차입금의존도</t>
    </r>
    <phoneticPr fontId="3" type="noConversion"/>
  </si>
  <si>
    <r>
      <rPr>
        <sz val="11"/>
        <color theme="1"/>
        <rFont val="맑은 고딕"/>
        <family val="2"/>
        <charset val="129"/>
      </rPr>
      <t>총자산회전율</t>
    </r>
    <phoneticPr fontId="3" type="noConversion"/>
  </si>
  <si>
    <r>
      <rPr>
        <sz val="11"/>
        <color theme="1"/>
        <rFont val="맑은 고딕"/>
        <family val="2"/>
        <charset val="129"/>
      </rPr>
      <t>영업이익률</t>
    </r>
    <phoneticPr fontId="3" type="noConversion"/>
  </si>
  <si>
    <r>
      <rPr>
        <sz val="11"/>
        <color theme="1"/>
        <rFont val="맑은 고딕"/>
        <family val="2"/>
        <charset val="129"/>
      </rPr>
      <t>대한항공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월별수익률</t>
    </r>
    <phoneticPr fontId="3" type="noConversion"/>
  </si>
  <si>
    <r>
      <rPr>
        <sz val="11"/>
        <color theme="1"/>
        <rFont val="맑은 고딕"/>
        <family val="2"/>
        <charset val="129"/>
      </rPr>
      <t>코스피</t>
    </r>
    <r>
      <rPr>
        <sz val="11"/>
        <color theme="1"/>
        <rFont val="Arial"/>
        <family val="2"/>
      </rPr>
      <t>200</t>
    </r>
    <phoneticPr fontId="3" type="noConversion"/>
  </si>
  <si>
    <r>
      <t>1</t>
    </r>
    <r>
      <rPr>
        <sz val="11"/>
        <color theme="1"/>
        <rFont val="맑은 고딕"/>
        <family val="2"/>
        <charset val="129"/>
      </rPr>
      <t>년</t>
    </r>
    <phoneticPr fontId="3" type="noConversion"/>
  </si>
  <si>
    <r>
      <t>3</t>
    </r>
    <r>
      <rPr>
        <sz val="11"/>
        <color theme="1"/>
        <rFont val="맑은 고딕"/>
        <family val="2"/>
        <charset val="129"/>
      </rPr>
      <t>년</t>
    </r>
    <phoneticPr fontId="3" type="noConversion"/>
  </si>
  <si>
    <r>
      <t>5</t>
    </r>
    <r>
      <rPr>
        <sz val="11"/>
        <color theme="1"/>
        <rFont val="맑은 고딕"/>
        <family val="2"/>
        <charset val="129"/>
      </rPr>
      <t>년</t>
    </r>
    <phoneticPr fontId="3" type="noConversion"/>
  </si>
  <si>
    <t>매출액</t>
  </si>
  <si>
    <t>매출액</t>
    <phoneticPr fontId="3" type="noConversion"/>
  </si>
  <si>
    <t xml:space="preserve"> 매출원가</t>
    <phoneticPr fontId="3" type="noConversion"/>
  </si>
  <si>
    <t>매출총이익</t>
  </si>
  <si>
    <t>매출총이익</t>
    <phoneticPr fontId="3" type="noConversion"/>
  </si>
  <si>
    <t xml:space="preserve"> 판매비와관리비</t>
    <phoneticPr fontId="3" type="noConversion"/>
  </si>
  <si>
    <t>영업이익</t>
  </si>
  <si>
    <t>영업이익</t>
    <phoneticPr fontId="3" type="noConversion"/>
  </si>
  <si>
    <t>영업외수익</t>
  </si>
  <si>
    <t>영업외수익</t>
    <phoneticPr fontId="3" type="noConversion"/>
  </si>
  <si>
    <t>영업외비용</t>
  </si>
  <si>
    <t>영업외비용</t>
    <phoneticPr fontId="3" type="noConversion"/>
  </si>
  <si>
    <t>법인세차감전순이익</t>
  </si>
  <si>
    <t>법인세차감전순이익</t>
    <phoneticPr fontId="3" type="noConversion"/>
  </si>
  <si>
    <t xml:space="preserve"> 법인세 등</t>
    <phoneticPr fontId="3" type="noConversion"/>
  </si>
  <si>
    <t>당기순이익</t>
  </si>
  <si>
    <t>당기순이익</t>
    <phoneticPr fontId="3" type="noConversion"/>
  </si>
  <si>
    <t>배당금</t>
  </si>
  <si>
    <t>2025E</t>
    <phoneticPr fontId="3" type="noConversion"/>
  </si>
  <si>
    <t>2026E</t>
    <phoneticPr fontId="3" type="noConversion"/>
  </si>
  <si>
    <t>2027E</t>
    <phoneticPr fontId="3" type="noConversion"/>
  </si>
  <si>
    <t xml:space="preserve">  감가상각비</t>
  </si>
  <si>
    <t xml:space="preserve">  매출채권의 증가</t>
  </si>
  <si>
    <t xml:space="preserve">  기타유동자산의 증가</t>
  </si>
  <si>
    <t xml:space="preserve">  재고자산의 증가</t>
  </si>
  <si>
    <t xml:space="preserve">  매입채무의 증가</t>
  </si>
  <si>
    <t xml:space="preserve">  기타유동부채의 증가</t>
  </si>
  <si>
    <t>영업활동으로 인한 현금흐름</t>
  </si>
  <si>
    <t xml:space="preserve">  유형자산의 취득</t>
  </si>
  <si>
    <t>투자활동으로 인한 현금흐름</t>
  </si>
  <si>
    <t xml:space="preserve">  배당금의 지급</t>
  </si>
  <si>
    <t>재무활동으로 인한 현금흐름</t>
  </si>
  <si>
    <t xml:space="preserve">  현금의 증가(감소)</t>
  </si>
  <si>
    <t xml:space="preserve">  기초의 현금</t>
  </si>
  <si>
    <t xml:space="preserve">  기말의 현금</t>
  </si>
  <si>
    <t>(단위: 억원)</t>
    <phoneticPr fontId="3" type="noConversion"/>
  </si>
  <si>
    <t xml:space="preserve">  매출원가</t>
  </si>
  <si>
    <t xml:space="preserve">  판매비와관리비</t>
  </si>
  <si>
    <t>-</t>
    <phoneticPr fontId="3" type="noConversion"/>
  </si>
  <si>
    <t xml:space="preserve">  법인세 등</t>
  </si>
  <si>
    <t>평균</t>
    <phoneticPr fontId="3" type="noConversion"/>
  </si>
  <si>
    <t>매출액증가율</t>
    <phoneticPr fontId="3" type="noConversion"/>
  </si>
  <si>
    <t>매출원가율</t>
    <phoneticPr fontId="3" type="noConversion"/>
  </si>
  <si>
    <t>판관비/매출액</t>
    <phoneticPr fontId="3" type="noConversion"/>
  </si>
  <si>
    <t>영업이익/매출액</t>
    <phoneticPr fontId="3" type="noConversion"/>
  </si>
  <si>
    <t>매입채무최전율</t>
    <phoneticPr fontId="3" type="noConversion"/>
  </si>
  <si>
    <t>당기순이익/매출액</t>
    <phoneticPr fontId="3" type="noConversion"/>
  </si>
  <si>
    <t>기타유동자산회전율</t>
    <phoneticPr fontId="3" type="noConversion"/>
  </si>
  <si>
    <t>기타유동부채회전율</t>
    <phoneticPr fontId="3" type="noConversion"/>
  </si>
  <si>
    <t>감가상각비</t>
    <phoneticPr fontId="3" type="noConversion"/>
  </si>
  <si>
    <t>배당금의 지급</t>
    <phoneticPr fontId="3" type="noConversion"/>
  </si>
  <si>
    <t>법인세율(법인세/법인세차감전순이익)</t>
    <phoneticPr fontId="3" type="noConversion"/>
  </si>
  <si>
    <t>배당성향(배당금/당기순이익)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</si>
</sst>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00"/>
    <numFmt numFmtId="177" formatCode="0.000"/>
    <numFmt numFmtId="193" formatCode="yyyy\-mm\-dd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u/>
      <sz val="9"/>
      <color indexed="12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b/>
      <sz val="9"/>
      <color rgb="FF000000"/>
      <name val="Arial"/>
      <family val="3"/>
      <charset val="129"/>
    </font>
    <font>
      <b/>
      <sz val="10"/>
      <name val="MS Sans Serif"/>
      <family val="2"/>
    </font>
    <font>
      <sz val="9"/>
      <name val="Arial"/>
      <family val="2"/>
    </font>
    <font>
      <sz val="8"/>
      <color theme="1"/>
      <name val="맑은 고딕"/>
      <family val="3"/>
      <charset val="129"/>
      <scheme val="minor"/>
    </font>
    <font>
      <u/>
      <sz val="8"/>
      <color indexed="12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name val="Tahoma"/>
      <family val="2"/>
    </font>
    <font>
      <b/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2"/>
      <charset val="129"/>
    </font>
    <font>
      <sz val="11"/>
      <color indexed="8"/>
      <name val="Arial"/>
      <family val="2"/>
    </font>
    <font>
      <sz val="9"/>
      <color theme="3" tint="0.499984740745262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맑은 고딕"/>
      <family val="2"/>
      <charset val="129"/>
    </font>
    <font>
      <sz val="11"/>
      <color theme="1"/>
      <name val="Arial"/>
      <family val="2"/>
      <charset val="129"/>
    </font>
    <font>
      <b/>
      <sz val="9"/>
      <color theme="1"/>
      <name val="Arial"/>
      <family val="2"/>
    </font>
    <font>
      <b/>
      <sz val="9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10"/>
      <color theme="1"/>
      <name val="Times New Roman"/>
      <family val="2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69696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6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>
      <alignment vertical="center"/>
    </xf>
    <xf numFmtId="0" fontId="15" fillId="0" borderId="0">
      <alignment vertical="center"/>
    </xf>
    <xf numFmtId="0" fontId="2" fillId="0" borderId="0" applyNumberFormat="0" applyFill="0" applyBorder="0" applyAlignment="0" applyProtection="0"/>
    <xf numFmtId="41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 applyNumberFormat="0" applyFill="0" applyBorder="0" applyAlignment="0" applyProtection="0"/>
    <xf numFmtId="0" fontId="18" fillId="0" borderId="0">
      <alignment vertical="center"/>
    </xf>
    <xf numFmtId="0" fontId="15" fillId="0" borderId="0" applyNumberFormat="0" applyFill="0" applyBorder="0" applyAlignment="0" applyProtection="0"/>
    <xf numFmtId="0" fontId="18" fillId="0" borderId="0">
      <alignment vertical="center"/>
    </xf>
    <xf numFmtId="0" fontId="1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6" fillId="0" borderId="0">
      <alignment vertical="center"/>
    </xf>
    <xf numFmtId="41" fontId="19" fillId="0" borderId="0" applyFont="0" applyFill="0" applyBorder="0" applyAlignment="0" applyProtection="0"/>
    <xf numFmtId="0" fontId="19" fillId="0" borderId="0"/>
    <xf numFmtId="41" fontId="19" fillId="0" borderId="0" applyFont="0" applyFill="0" applyBorder="0" applyAlignment="0" applyProtection="0"/>
    <xf numFmtId="0" fontId="18" fillId="0" borderId="0">
      <alignment vertical="center"/>
    </xf>
    <xf numFmtId="0" fontId="33" fillId="0" borderId="0">
      <alignment vertical="center"/>
    </xf>
    <xf numFmtId="9" fontId="33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49" fontId="6" fillId="2" borderId="3" xfId="2" applyNumberFormat="1" applyFont="1" applyFill="1" applyBorder="1">
      <alignment vertical="center"/>
    </xf>
    <xf numFmtId="49" fontId="6" fillId="2" borderId="5" xfId="2" applyNumberFormat="1" applyFont="1" applyFill="1" applyBorder="1">
      <alignment vertical="center"/>
    </xf>
    <xf numFmtId="3" fontId="6" fillId="2" borderId="6" xfId="2" applyNumberFormat="1" applyFont="1" applyFill="1" applyBorder="1" applyAlignment="1">
      <alignment horizontal="center" vertical="center"/>
    </xf>
    <xf numFmtId="3" fontId="6" fillId="2" borderId="0" xfId="2" applyNumberFormat="1" applyFont="1" applyFill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5" xfId="2" applyNumberFormat="1" applyFont="1" applyFill="1" applyBorder="1" applyAlignment="1">
      <alignment horizontal="center" vertical="center"/>
    </xf>
    <xf numFmtId="3" fontId="6" fillId="2" borderId="4" xfId="2" applyNumberFormat="1" applyFont="1" applyFill="1" applyBorder="1" applyAlignment="1">
      <alignment horizontal="center" vertical="center"/>
    </xf>
    <xf numFmtId="49" fontId="5" fillId="2" borderId="3" xfId="2" applyNumberFormat="1" applyFont="1" applyFill="1" applyBorder="1">
      <alignment vertical="center"/>
    </xf>
    <xf numFmtId="3" fontId="5" fillId="2" borderId="0" xfId="2" applyNumberFormat="1" applyFont="1" applyFill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9" fontId="6" fillId="2" borderId="6" xfId="1" applyFont="1" applyFill="1" applyBorder="1" applyAlignment="1">
      <alignment horizontal="center" vertical="center"/>
    </xf>
    <xf numFmtId="9" fontId="6" fillId="2" borderId="4" xfId="1" applyFont="1" applyFill="1" applyBorder="1" applyAlignment="1">
      <alignment horizontal="center" vertical="center"/>
    </xf>
    <xf numFmtId="9" fontId="6" fillId="2" borderId="5" xfId="1" applyFont="1" applyFill="1" applyBorder="1" applyAlignment="1">
      <alignment horizontal="center" vertical="center"/>
    </xf>
    <xf numFmtId="49" fontId="5" fillId="2" borderId="5" xfId="2" applyNumberFormat="1" applyFont="1" applyFill="1" applyBorder="1">
      <alignment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5" xfId="2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3" fontId="6" fillId="0" borderId="0" xfId="2" applyNumberFormat="1" applyFont="1" applyAlignment="1">
      <alignment horizontal="center" vertical="center"/>
    </xf>
    <xf numFmtId="9" fontId="22" fillId="0" borderId="0" xfId="1" applyFont="1" applyAlignment="1">
      <alignment horizontal="center" vertical="center"/>
    </xf>
    <xf numFmtId="10" fontId="5" fillId="2" borderId="0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6" fillId="2" borderId="0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7" xfId="1" applyNumberFormat="1" applyFont="1" applyFill="1" applyBorder="1" applyAlignment="1">
      <alignment horizontal="center" vertical="center"/>
    </xf>
    <xf numFmtId="10" fontId="6" fillId="2" borderId="5" xfId="1" applyNumberFormat="1" applyFont="1" applyFill="1" applyBorder="1" applyAlignment="1">
      <alignment horizontal="center" vertical="center"/>
    </xf>
    <xf numFmtId="49" fontId="5" fillId="5" borderId="2" xfId="2" applyNumberFormat="1" applyFont="1" applyFill="1" applyBorder="1">
      <alignment vertical="center"/>
    </xf>
    <xf numFmtId="3" fontId="5" fillId="5" borderId="1" xfId="2" applyNumberFormat="1" applyFont="1" applyFill="1" applyBorder="1" applyAlignment="1">
      <alignment horizontal="center" vertical="center"/>
    </xf>
    <xf numFmtId="3" fontId="5" fillId="5" borderId="2" xfId="2" applyNumberFormat="1" applyFont="1" applyFill="1" applyBorder="1" applyAlignment="1">
      <alignment horizontal="center" vertical="center"/>
    </xf>
    <xf numFmtId="9" fontId="5" fillId="5" borderId="8" xfId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5" fillId="5" borderId="2" xfId="1" applyFont="1" applyFill="1" applyBorder="1" applyAlignment="1">
      <alignment horizontal="center" vertical="center"/>
    </xf>
    <xf numFmtId="49" fontId="5" fillId="5" borderId="5" xfId="2" applyNumberFormat="1" applyFont="1" applyFill="1" applyBorder="1">
      <alignment vertical="center"/>
    </xf>
    <xf numFmtId="3" fontId="5" fillId="5" borderId="4" xfId="2" applyNumberFormat="1" applyFont="1" applyFill="1" applyBorder="1" applyAlignment="1">
      <alignment horizontal="center" vertical="center"/>
    </xf>
    <xf numFmtId="3" fontId="5" fillId="5" borderId="5" xfId="2" applyNumberFormat="1" applyFont="1" applyFill="1" applyBorder="1" applyAlignment="1">
      <alignment horizontal="center" vertical="center"/>
    </xf>
    <xf numFmtId="49" fontId="13" fillId="5" borderId="2" xfId="2" applyNumberFormat="1" applyFont="1" applyFill="1" applyBorder="1">
      <alignment vertical="center"/>
    </xf>
    <xf numFmtId="0" fontId="24" fillId="0" borderId="0" xfId="0" applyFont="1">
      <alignment vertical="center"/>
    </xf>
    <xf numFmtId="9" fontId="24" fillId="0" borderId="0" xfId="1" applyFont="1" applyAlignment="1">
      <alignment horizontal="center" vertical="center"/>
    </xf>
    <xf numFmtId="0" fontId="26" fillId="0" borderId="0" xfId="0" applyFont="1">
      <alignment vertical="center"/>
    </xf>
    <xf numFmtId="3" fontId="24" fillId="0" borderId="0" xfId="0" applyNumberFormat="1" applyFont="1">
      <alignment vertical="center"/>
    </xf>
    <xf numFmtId="3" fontId="2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30" fillId="6" borderId="5" xfId="0" applyFont="1" applyFill="1" applyBorder="1">
      <alignment vertical="center"/>
    </xf>
    <xf numFmtId="0" fontId="30" fillId="6" borderId="4" xfId="0" applyFont="1" applyFill="1" applyBorder="1">
      <alignment vertical="center"/>
    </xf>
    <xf numFmtId="0" fontId="29" fillId="6" borderId="3" xfId="0" applyFont="1" applyFill="1" applyBorder="1">
      <alignment vertical="center"/>
    </xf>
    <xf numFmtId="0" fontId="5" fillId="4" borderId="2" xfId="2" applyFont="1" applyFill="1" applyBorder="1" applyAlignment="1">
      <alignment horizontal="center" vertical="center"/>
    </xf>
    <xf numFmtId="49" fontId="5" fillId="4" borderId="3" xfId="2" applyNumberFormat="1" applyFont="1" applyFill="1" applyBorder="1">
      <alignment vertical="center"/>
    </xf>
    <xf numFmtId="49" fontId="6" fillId="4" borderId="3" xfId="2" applyNumberFormat="1" applyFont="1" applyFill="1" applyBorder="1">
      <alignment vertical="center"/>
    </xf>
    <xf numFmtId="49" fontId="5" fillId="4" borderId="5" xfId="2" applyNumberFormat="1" applyFont="1" applyFill="1" applyBorder="1">
      <alignment vertical="center"/>
    </xf>
    <xf numFmtId="3" fontId="5" fillId="0" borderId="4" xfId="2" applyNumberFormat="1" applyFont="1" applyBorder="1" applyAlignment="1">
      <alignment horizontal="center" vertical="center"/>
    </xf>
    <xf numFmtId="49" fontId="5" fillId="4" borderId="2" xfId="2" applyNumberFormat="1" applyFont="1" applyFill="1" applyBorder="1">
      <alignment vertical="center"/>
    </xf>
    <xf numFmtId="3" fontId="6" fillId="0" borderId="1" xfId="2" applyNumberFormat="1" applyFont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3" fontId="5" fillId="0" borderId="7" xfId="2" applyNumberFormat="1" applyFont="1" applyBorder="1" applyAlignment="1">
      <alignment horizontal="center" vertical="center"/>
    </xf>
    <xf numFmtId="3" fontId="5" fillId="0" borderId="0" xfId="2" applyNumberFormat="1" applyFont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3" fontId="6" fillId="0" borderId="7" xfId="2" applyNumberFormat="1" applyFont="1" applyBorder="1" applyAlignment="1">
      <alignment horizontal="center" vertical="center"/>
    </xf>
    <xf numFmtId="3" fontId="6" fillId="0" borderId="3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0" borderId="5" xfId="2" applyNumberFormat="1" applyFont="1" applyBorder="1" applyAlignment="1">
      <alignment horizontal="center" vertical="center"/>
    </xf>
    <xf numFmtId="3" fontId="6" fillId="0" borderId="8" xfId="2" applyNumberFormat="1" applyFont="1" applyBorder="1" applyAlignment="1">
      <alignment horizontal="center" vertical="center"/>
    </xf>
    <xf numFmtId="3" fontId="6" fillId="0" borderId="2" xfId="2" applyNumberFormat="1" applyFont="1" applyBorder="1" applyAlignment="1">
      <alignment horizontal="center" vertical="center"/>
    </xf>
    <xf numFmtId="3" fontId="5" fillId="0" borderId="8" xfId="2" applyNumberFormat="1" applyFont="1" applyBorder="1" applyAlignment="1">
      <alignment horizontal="center" vertical="center"/>
    </xf>
    <xf numFmtId="3" fontId="5" fillId="0" borderId="2" xfId="2" applyNumberFormat="1" applyFont="1" applyBorder="1" applyAlignment="1">
      <alignment horizontal="center" vertical="center"/>
    </xf>
    <xf numFmtId="3" fontId="23" fillId="0" borderId="7" xfId="2" applyNumberFormat="1" applyFont="1" applyBorder="1" applyAlignment="1">
      <alignment horizontal="center" vertical="center"/>
    </xf>
    <xf numFmtId="3" fontId="23" fillId="0" borderId="0" xfId="2" applyNumberFormat="1" applyFont="1" applyAlignment="1">
      <alignment horizontal="center" vertical="center"/>
    </xf>
    <xf numFmtId="3" fontId="23" fillId="0" borderId="3" xfId="2" applyNumberFormat="1" applyFont="1" applyBorder="1" applyAlignment="1">
      <alignment horizontal="center" vertical="center"/>
    </xf>
    <xf numFmtId="49" fontId="6" fillId="4" borderId="5" xfId="2" applyNumberFormat="1" applyFont="1" applyFill="1" applyBorder="1">
      <alignment vertical="center"/>
    </xf>
    <xf numFmtId="3" fontId="6" fillId="0" borderId="6" xfId="2" applyNumberFormat="1" applyFont="1" applyBorder="1" applyAlignment="1">
      <alignment horizontal="center" vertical="center"/>
    </xf>
    <xf numFmtId="3" fontId="6" fillId="0" borderId="4" xfId="2" applyNumberFormat="1" applyFont="1" applyBorder="1" applyAlignment="1">
      <alignment horizontal="center" vertical="center"/>
    </xf>
    <xf numFmtId="3" fontId="6" fillId="0" borderId="5" xfId="2" applyNumberFormat="1" applyFont="1" applyBorder="1" applyAlignment="1">
      <alignment horizontal="center" vertical="center"/>
    </xf>
    <xf numFmtId="10" fontId="27" fillId="0" borderId="4" xfId="1" applyNumberFormat="1" applyFont="1" applyBorder="1" applyAlignment="1">
      <alignment horizontal="center" vertical="center"/>
    </xf>
    <xf numFmtId="10" fontId="27" fillId="0" borderId="0" xfId="1" applyNumberFormat="1" applyFont="1" applyBorder="1" applyAlignment="1">
      <alignment horizontal="center" vertical="center"/>
    </xf>
    <xf numFmtId="10" fontId="27" fillId="0" borderId="3" xfId="1" applyNumberFormat="1" applyFont="1" applyBorder="1" applyAlignment="1">
      <alignment horizontal="center" vertical="center"/>
    </xf>
    <xf numFmtId="10" fontId="6" fillId="0" borderId="0" xfId="1" applyNumberFormat="1" applyFont="1" applyFill="1" applyBorder="1" applyAlignment="1">
      <alignment horizontal="center" vertical="center"/>
    </xf>
    <xf numFmtId="10" fontId="6" fillId="0" borderId="3" xfId="1" applyNumberFormat="1" applyFont="1" applyFill="1" applyBorder="1" applyAlignment="1">
      <alignment horizontal="center" vertical="center"/>
    </xf>
    <xf numFmtId="10" fontId="27" fillId="0" borderId="5" xfId="1" applyNumberFormat="1" applyFont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center"/>
    </xf>
    <xf numFmtId="0" fontId="30" fillId="6" borderId="11" xfId="0" applyFont="1" applyFill="1" applyBorder="1" applyAlignment="1">
      <alignment horizontal="center" vertical="center"/>
    </xf>
    <xf numFmtId="0" fontId="30" fillId="6" borderId="10" xfId="0" applyFont="1" applyFill="1" applyBorder="1" applyAlignment="1">
      <alignment horizontal="center" vertical="center"/>
    </xf>
    <xf numFmtId="0" fontId="30" fillId="6" borderId="1" xfId="1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6" borderId="10" xfId="0" applyFont="1" applyFill="1" applyBorder="1">
      <alignment vertical="center"/>
    </xf>
    <xf numFmtId="0" fontId="30" fillId="6" borderId="9" xfId="0" applyFont="1" applyFill="1" applyBorder="1">
      <alignment vertical="center"/>
    </xf>
    <xf numFmtId="3" fontId="30" fillId="0" borderId="0" xfId="0" applyNumberFormat="1" applyFont="1">
      <alignment vertical="center"/>
    </xf>
    <xf numFmtId="3" fontId="30" fillId="0" borderId="3" xfId="0" applyNumberFormat="1" applyFont="1" applyBorder="1">
      <alignment vertical="center"/>
    </xf>
    <xf numFmtId="0" fontId="27" fillId="6" borderId="9" xfId="0" applyFont="1" applyFill="1" applyBorder="1">
      <alignment vertical="center"/>
    </xf>
    <xf numFmtId="3" fontId="27" fillId="0" borderId="0" xfId="0" applyNumberFormat="1" applyFont="1">
      <alignment vertical="center"/>
    </xf>
    <xf numFmtId="3" fontId="27" fillId="0" borderId="3" xfId="0" applyNumberFormat="1" applyFont="1" applyBorder="1">
      <alignment vertical="center"/>
    </xf>
    <xf numFmtId="0" fontId="27" fillId="0" borderId="3" xfId="0" applyFont="1" applyBorder="1">
      <alignment vertical="center"/>
    </xf>
    <xf numFmtId="0" fontId="30" fillId="0" borderId="0" xfId="0" applyFont="1">
      <alignment vertical="center"/>
    </xf>
    <xf numFmtId="0" fontId="27" fillId="6" borderId="11" xfId="0" applyFont="1" applyFill="1" applyBorder="1">
      <alignment vertical="center"/>
    </xf>
    <xf numFmtId="0" fontId="27" fillId="0" borderId="4" xfId="0" applyFont="1" applyBorder="1">
      <alignment vertical="center"/>
    </xf>
    <xf numFmtId="3" fontId="27" fillId="0" borderId="4" xfId="0" applyNumberFormat="1" applyFont="1" applyBorder="1">
      <alignment vertical="center"/>
    </xf>
    <xf numFmtId="3" fontId="27" fillId="0" borderId="5" xfId="0" applyNumberFormat="1" applyFont="1" applyBorder="1">
      <alignment vertical="center"/>
    </xf>
    <xf numFmtId="0" fontId="30" fillId="6" borderId="12" xfId="0" applyFont="1" applyFill="1" applyBorder="1">
      <alignment vertical="center"/>
    </xf>
    <xf numFmtId="3" fontId="30" fillId="0" borderId="13" xfId="0" applyNumberFormat="1" applyFont="1" applyBorder="1">
      <alignment vertical="center"/>
    </xf>
    <xf numFmtId="3" fontId="30" fillId="0" borderId="14" xfId="0" applyNumberFormat="1" applyFont="1" applyBorder="1">
      <alignment vertical="center"/>
    </xf>
    <xf numFmtId="0" fontId="30" fillId="6" borderId="11" xfId="0" applyFont="1" applyFill="1" applyBorder="1">
      <alignment vertical="center"/>
    </xf>
    <xf numFmtId="0" fontId="30" fillId="0" borderId="4" xfId="0" applyFont="1" applyBorder="1">
      <alignment vertical="center"/>
    </xf>
    <xf numFmtId="3" fontId="30" fillId="0" borderId="4" xfId="0" applyNumberFormat="1" applyFont="1" applyBorder="1">
      <alignment vertical="center"/>
    </xf>
    <xf numFmtId="3" fontId="30" fillId="0" borderId="5" xfId="0" applyNumberFormat="1" applyFont="1" applyBorder="1">
      <alignment vertical="center"/>
    </xf>
    <xf numFmtId="0" fontId="27" fillId="0" borderId="5" xfId="0" applyFont="1" applyBorder="1">
      <alignment vertical="center"/>
    </xf>
    <xf numFmtId="9" fontId="27" fillId="0" borderId="0" xfId="1" applyFont="1" applyBorder="1" applyAlignment="1">
      <alignment horizontal="center" vertical="center"/>
    </xf>
    <xf numFmtId="9" fontId="27" fillId="0" borderId="3" xfId="1" applyFont="1" applyBorder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0" fontId="27" fillId="0" borderId="3" xfId="0" applyNumberFormat="1" applyFont="1" applyBorder="1" applyAlignment="1">
      <alignment horizontal="center" vertical="center"/>
    </xf>
    <xf numFmtId="3" fontId="27" fillId="0" borderId="4" xfId="0" applyNumberFormat="1" applyFont="1" applyBorder="1" applyAlignment="1">
      <alignment horizontal="center" vertical="center"/>
    </xf>
    <xf numFmtId="3" fontId="27" fillId="0" borderId="5" xfId="0" applyNumberFormat="1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31" fillId="6" borderId="9" xfId="0" applyFont="1" applyFill="1" applyBorder="1" applyAlignment="1">
      <alignment horizontal="center" vertical="center"/>
    </xf>
    <xf numFmtId="4" fontId="27" fillId="0" borderId="4" xfId="0" applyNumberFormat="1" applyFont="1" applyBorder="1" applyAlignment="1">
      <alignment horizontal="center" vertical="center"/>
    </xf>
    <xf numFmtId="4" fontId="27" fillId="0" borderId="5" xfId="0" applyNumberFormat="1" applyFont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20" fillId="6" borderId="10" xfId="0" applyFont="1" applyFill="1" applyBorder="1">
      <alignment vertical="center"/>
    </xf>
    <xf numFmtId="0" fontId="7" fillId="3" borderId="8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30" fillId="6" borderId="8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9" fontId="0" fillId="0" borderId="0" xfId="1" applyFont="1">
      <alignment vertical="center"/>
    </xf>
    <xf numFmtId="10" fontId="0" fillId="0" borderId="0" xfId="1" applyNumberFormat="1" applyFont="1">
      <alignment vertical="center"/>
    </xf>
    <xf numFmtId="176" fontId="24" fillId="0" borderId="0" xfId="0" applyNumberFormat="1" applyFont="1">
      <alignment vertical="center"/>
    </xf>
    <xf numFmtId="10" fontId="24" fillId="0" borderId="0" xfId="1" applyNumberFormat="1" applyFont="1">
      <alignment vertical="center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2" fontId="24" fillId="0" borderId="0" xfId="0" applyNumberFormat="1" applyFont="1">
      <alignment vertical="center"/>
    </xf>
    <xf numFmtId="0" fontId="24" fillId="0" borderId="0" xfId="0" applyFont="1" applyFill="1" applyBorder="1">
      <alignment vertical="center"/>
    </xf>
    <xf numFmtId="177" fontId="24" fillId="0" borderId="0" xfId="0" applyNumberFormat="1" applyFont="1">
      <alignment vertical="center"/>
    </xf>
    <xf numFmtId="2" fontId="24" fillId="0" borderId="0" xfId="0" applyNumberFormat="1" applyFont="1" applyFill="1" applyBorder="1">
      <alignment vertical="center"/>
    </xf>
    <xf numFmtId="3" fontId="22" fillId="0" borderId="0" xfId="2" applyNumberFormat="1" applyFont="1">
      <alignment vertical="center"/>
    </xf>
    <xf numFmtId="193" fontId="24" fillId="0" borderId="0" xfId="39" applyNumberFormat="1" applyFont="1" applyFill="1" applyBorder="1" applyAlignment="1">
      <alignment horizontal="center" vertical="center"/>
    </xf>
    <xf numFmtId="4" fontId="24" fillId="0" borderId="0" xfId="39" applyNumberFormat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9" fontId="5" fillId="0" borderId="0" xfId="2" applyNumberFormat="1" applyFont="1">
      <alignment vertical="center"/>
    </xf>
    <xf numFmtId="49" fontId="6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0" fontId="35" fillId="0" borderId="0" xfId="0" applyFont="1">
      <alignment vertical="center"/>
    </xf>
    <xf numFmtId="0" fontId="36" fillId="0" borderId="0" xfId="8" applyFont="1" applyAlignment="1"/>
    <xf numFmtId="3" fontId="35" fillId="0" borderId="0" xfId="0" applyNumberFormat="1" applyFont="1">
      <alignment vertical="center"/>
    </xf>
    <xf numFmtId="0" fontId="15" fillId="0" borderId="0" xfId="8" applyFont="1" applyAlignment="1"/>
  </cellXfs>
  <cellStyles count="41">
    <cellStyle name="_x000a_386grabber=M" xfId="4" xr:uid="{91CCA219-8F9D-413B-AD2F-A0C17D72B1D1}"/>
    <cellStyle name="_x000a_386grabber=M 2" xfId="9" xr:uid="{285C8468-5E62-4976-8FC9-2AB4C7CCAA64}"/>
    <cellStyle name="_x000a_386grabber=M 3" xfId="11" xr:uid="{734C3BAE-D39E-4502-AB37-DA8F86C32774}"/>
    <cellStyle name="Normal 2" xfId="5" xr:uid="{AFC08DD3-9A87-4248-A4D8-89C5DA6D4421}"/>
    <cellStyle name="백분율" xfId="1" builtinId="5"/>
    <cellStyle name="백분율 2" xfId="40" xr:uid="{A24E9A6E-9E78-4EC0-8D31-CAE0F435B1EC}"/>
    <cellStyle name="쉼표 [0] 2" xfId="10" xr:uid="{0915E282-A154-46F4-917A-EF1502E5288A}"/>
    <cellStyle name="쉼표 [0] 3" xfId="13" xr:uid="{2A95894A-E15E-4CE1-A1F2-4C8422B726B2}"/>
    <cellStyle name="쉼표 [0] 3 2" xfId="37" xr:uid="{B64FDD95-3C87-4025-87B8-68581A220862}"/>
    <cellStyle name="쉼표 [0] 4" xfId="35" xr:uid="{1C7DF959-62C1-44CF-A346-DB6876C44591}"/>
    <cellStyle name="표준" xfId="0" builtinId="0"/>
    <cellStyle name="표준 18" xfId="16" xr:uid="{1B28997B-0365-4B5C-8022-50CF7C86FE55}"/>
    <cellStyle name="표준 19" xfId="17" xr:uid="{34603030-01B4-4789-8D7F-18CF47A2C6CE}"/>
    <cellStyle name="표준 2" xfId="8" xr:uid="{5E02C5B2-74B7-4ACB-97A1-0E306C643F45}"/>
    <cellStyle name="표준 2 12" xfId="15" xr:uid="{00B6C799-5E2E-48D4-8A2E-B430B31F21B1}"/>
    <cellStyle name="표준 2 14" xfId="21" xr:uid="{1C1B43EA-C66A-461E-B425-CE9CAFCE29A6}"/>
    <cellStyle name="표준 2 16" xfId="19" xr:uid="{B39DFD57-6FF5-4F6F-AF2F-0B41B237E20F}"/>
    <cellStyle name="표준 2 2" xfId="24" xr:uid="{D3FCF22C-A432-45DE-9F23-DB8D5173B787}"/>
    <cellStyle name="표준 2 2 2" xfId="27" xr:uid="{6A6B23DB-EA5E-4980-B80D-40991EB0B2B9}"/>
    <cellStyle name="표준 2 2 3" xfId="36" xr:uid="{AD49FEB2-9562-415F-9E89-6B746AD8718D}"/>
    <cellStyle name="표준 2 2 4" xfId="28" xr:uid="{9694843E-10E5-462F-B43D-AA42F6ADC702}"/>
    <cellStyle name="표준 2 2 5" xfId="29" xr:uid="{CEA93C84-FD32-4245-A39E-08568FE256EC}"/>
    <cellStyle name="표준 2 2 6" xfId="31" xr:uid="{339074C1-88F0-4808-A09B-F1E80980EFB4}"/>
    <cellStyle name="표준 2 2 7" xfId="32" xr:uid="{0A0B3E20-5E86-4F19-A562-E39889F4018E}"/>
    <cellStyle name="표준 2 62" xfId="23" xr:uid="{EC26E8FC-3997-4F22-A4ED-6EB9D3F35B1C}"/>
    <cellStyle name="표준 20" xfId="20" xr:uid="{E581F82A-E024-4AD7-B0EF-CCE73AFCEA62}"/>
    <cellStyle name="표준 21" xfId="30" xr:uid="{C75D6A2D-9B34-4F06-B10E-C8A38D10F83F}"/>
    <cellStyle name="표준 24" xfId="22" xr:uid="{F64827FD-57AF-40CB-B8E5-64A8494DE257}"/>
    <cellStyle name="표준 26" xfId="18" xr:uid="{7B9A72B6-F5F8-4B84-AAAF-120ED80E489C}"/>
    <cellStyle name="표준 28" xfId="7" xr:uid="{8D866AD3-D7FF-4FBC-9C2A-EA0072AD70A1}"/>
    <cellStyle name="표준 3" xfId="2" xr:uid="{59B180A2-5470-4655-B6B3-C64B53922F98}"/>
    <cellStyle name="표준 3 2" xfId="12" xr:uid="{F25DB357-D12F-4690-937C-8ACDFF859985}"/>
    <cellStyle name="표준 3 9" xfId="33" xr:uid="{146758E1-A610-4FCC-92EA-EAFAA80B5E9E}"/>
    <cellStyle name="표준 33" xfId="25" xr:uid="{7A8DC97E-2ACB-41B1-8C95-00F48203AE56}"/>
    <cellStyle name="표준 34" xfId="38" xr:uid="{CCB9D54F-B3D6-4E2E-A299-FE4BBC0D4531}"/>
    <cellStyle name="표준 4" xfId="14" xr:uid="{4C71F776-4074-416F-8338-B261AB96BF16}"/>
    <cellStyle name="표준 5" xfId="26" xr:uid="{57110183-B119-484D-9DF3-5B9E38ADE797}"/>
    <cellStyle name="표준 6" xfId="34" xr:uid="{4A134B65-E212-4A21-A909-3C6C78D79B5D}"/>
    <cellStyle name="표준 7" xfId="39" xr:uid="{BA949D74-3B9C-4070-9EE3-4877B2C50B10}"/>
    <cellStyle name="하이퍼링크 2" xfId="6" xr:uid="{59E80532-7ECA-4E25-83CF-31E637BC5591}"/>
    <cellStyle name="하이퍼링크 3" xfId="3" xr:uid="{C995405B-2E7C-4625-9A7C-AB7ED80D5AFF}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5BD6-4054-4E7A-951A-DADD1DC46E89}">
  <dimension ref="A1:R40"/>
  <sheetViews>
    <sheetView zoomScale="115" zoomScaleNormal="115" workbookViewId="0">
      <selection activeCell="F40" sqref="A1:F40"/>
    </sheetView>
  </sheetViews>
  <sheetFormatPr defaultRowHeight="16.5"/>
  <cols>
    <col min="1" max="1" width="27.625" bestFit="1" customWidth="1"/>
    <col min="2" max="6" width="10.125" style="11" bestFit="1" customWidth="1"/>
    <col min="13" max="13" width="13.75" bestFit="1" customWidth="1"/>
    <col min="14" max="14" width="9.5" bestFit="1" customWidth="1"/>
    <col min="15" max="15" width="8.625" bestFit="1" customWidth="1"/>
    <col min="16" max="18" width="9.5" bestFit="1" customWidth="1"/>
  </cols>
  <sheetData>
    <row r="1" spans="1:18">
      <c r="A1" s="12" t="s">
        <v>88</v>
      </c>
      <c r="B1" s="123" t="s">
        <v>39</v>
      </c>
      <c r="C1" s="124"/>
      <c r="D1" s="124"/>
      <c r="E1" s="124"/>
      <c r="F1" s="125"/>
      <c r="G1" s="123" t="s">
        <v>37</v>
      </c>
      <c r="H1" s="124"/>
      <c r="I1" s="124"/>
      <c r="J1" s="124"/>
      <c r="K1" s="125"/>
    </row>
    <row r="2" spans="1:18">
      <c r="A2" s="12" t="s">
        <v>34</v>
      </c>
      <c r="B2" s="13">
        <v>2020</v>
      </c>
      <c r="C2" s="13">
        <v>2021</v>
      </c>
      <c r="D2" s="13">
        <v>2022</v>
      </c>
      <c r="E2" s="13">
        <v>2023</v>
      </c>
      <c r="F2" s="14">
        <v>2024</v>
      </c>
      <c r="G2" s="13">
        <v>2020</v>
      </c>
      <c r="H2" s="13">
        <v>2021</v>
      </c>
      <c r="I2" s="13">
        <v>2022</v>
      </c>
      <c r="J2" s="13">
        <v>2023</v>
      </c>
      <c r="K2" s="14">
        <v>2024</v>
      </c>
      <c r="M2" s="122"/>
      <c r="N2" s="121">
        <v>2020</v>
      </c>
      <c r="O2" s="121">
        <v>2021</v>
      </c>
      <c r="P2" s="121">
        <v>2022</v>
      </c>
      <c r="Q2" s="121">
        <v>2023</v>
      </c>
      <c r="R2" s="14">
        <v>2024</v>
      </c>
    </row>
    <row r="3" spans="1:18">
      <c r="A3" s="31" t="s">
        <v>0</v>
      </c>
      <c r="B3" s="32">
        <v>251900.6107428</v>
      </c>
      <c r="C3" s="32">
        <v>266719.03184200003</v>
      </c>
      <c r="D3" s="32">
        <v>289977.01022479997</v>
      </c>
      <c r="E3" s="32">
        <v>303917.7602965</v>
      </c>
      <c r="F3" s="33">
        <v>470120.65940080001</v>
      </c>
      <c r="G3" s="34">
        <v>1</v>
      </c>
      <c r="H3" s="35">
        <v>1</v>
      </c>
      <c r="I3" s="35">
        <v>1</v>
      </c>
      <c r="J3" s="35">
        <v>1</v>
      </c>
      <c r="K3" s="36">
        <v>1</v>
      </c>
      <c r="M3" s="84" t="s">
        <v>207</v>
      </c>
      <c r="N3" s="79">
        <f>B17/B33</f>
        <v>6.6063283669546555</v>
      </c>
      <c r="O3" s="79">
        <f t="shared" ref="O3:R3" si="0">C17/C33</f>
        <v>2.884810771379358</v>
      </c>
      <c r="P3" s="79">
        <f t="shared" si="0"/>
        <v>2.1205623028859208</v>
      </c>
      <c r="Q3" s="79">
        <f t="shared" si="0"/>
        <v>2.0963964575654153</v>
      </c>
      <c r="R3" s="80">
        <f t="shared" si="0"/>
        <v>3.2881732354662816</v>
      </c>
    </row>
    <row r="4" spans="1:18">
      <c r="A4" s="8" t="s">
        <v>1</v>
      </c>
      <c r="B4" s="9">
        <v>40025.189822699998</v>
      </c>
      <c r="C4" s="9">
        <v>66409.968113700001</v>
      </c>
      <c r="D4" s="9">
        <v>80909.367431899998</v>
      </c>
      <c r="E4" s="9">
        <v>85951.6963922</v>
      </c>
      <c r="F4" s="10">
        <v>116168.73056349999</v>
      </c>
      <c r="G4" s="25">
        <f>B4/B3</f>
        <v>0.15889278594710207</v>
      </c>
      <c r="H4" s="25">
        <f t="shared" ref="H4:K4" si="1">C4/C3</f>
        <v>0.24898848670476645</v>
      </c>
      <c r="I4" s="25">
        <f t="shared" si="1"/>
        <v>0.27901993806052527</v>
      </c>
      <c r="J4" s="25">
        <f t="shared" si="1"/>
        <v>0.28281235130301741</v>
      </c>
      <c r="K4" s="26">
        <f t="shared" si="1"/>
        <v>0.24710407475298948</v>
      </c>
      <c r="M4" s="84" t="s">
        <v>208</v>
      </c>
      <c r="N4" s="79">
        <f>B4/B18</f>
        <v>0.50108060081131189</v>
      </c>
      <c r="O4" s="79">
        <f t="shared" ref="O4:R4" si="2">C4/C18</f>
        <v>0.78638889593718087</v>
      </c>
      <c r="P4" s="79">
        <f t="shared" si="2"/>
        <v>0.95466214110748215</v>
      </c>
      <c r="Q4" s="79">
        <f t="shared" si="2"/>
        <v>0.91342120956446216</v>
      </c>
      <c r="R4" s="80">
        <f t="shared" si="2"/>
        <v>0.68441292086048455</v>
      </c>
    </row>
    <row r="5" spans="1:18">
      <c r="A5" s="1" t="s">
        <v>6</v>
      </c>
      <c r="B5" s="4">
        <v>13145.65984</v>
      </c>
      <c r="C5" s="4">
        <v>11853.75122</v>
      </c>
      <c r="D5" s="4">
        <v>10569.00547</v>
      </c>
      <c r="E5" s="4">
        <v>6227.8737799999999</v>
      </c>
      <c r="F5" s="5">
        <v>22156.245630000001</v>
      </c>
      <c r="G5" s="27">
        <f>B5/B3</f>
        <v>5.2185899038657807E-2</v>
      </c>
      <c r="H5" s="27">
        <f t="shared" ref="H5:K5" si="3">C5/C3</f>
        <v>4.4442839860868902E-2</v>
      </c>
      <c r="I5" s="27">
        <f t="shared" si="3"/>
        <v>3.6447735845702219E-2</v>
      </c>
      <c r="J5" s="27">
        <f t="shared" si="3"/>
        <v>2.0491970505192362E-2</v>
      </c>
      <c r="K5" s="28">
        <f t="shared" si="3"/>
        <v>4.712884913043304E-2</v>
      </c>
      <c r="M5" s="84" t="s">
        <v>209</v>
      </c>
      <c r="N5" s="79">
        <f>(B4-B8)/B18</f>
        <v>0.43207572887237439</v>
      </c>
      <c r="O5" s="79">
        <f t="shared" ref="O5:R5" si="4">(C4-C8)/C18</f>
        <v>0.71568803136985981</v>
      </c>
      <c r="P5" s="79">
        <f t="shared" si="4"/>
        <v>0.86851952137336919</v>
      </c>
      <c r="Q5" s="79">
        <f t="shared" si="4"/>
        <v>0.82270998554413277</v>
      </c>
      <c r="R5" s="80">
        <f t="shared" si="4"/>
        <v>0.61544107765297296</v>
      </c>
    </row>
    <row r="6" spans="1:18">
      <c r="A6" s="1" t="s">
        <v>3</v>
      </c>
      <c r="B6" s="4">
        <v>6470.9663112999997</v>
      </c>
      <c r="C6" s="4">
        <v>30758.1647897</v>
      </c>
      <c r="D6" s="4">
        <v>49865.229772300001</v>
      </c>
      <c r="E6" s="4">
        <v>56152.599117999998</v>
      </c>
      <c r="F6" s="5">
        <v>46890.718163799997</v>
      </c>
      <c r="G6" s="27">
        <f>B6/B3</f>
        <v>2.5688569361616592E-2</v>
      </c>
      <c r="H6" s="27">
        <f t="shared" ref="H6:K6" si="5">C6/C3</f>
        <v>0.11532047254850802</v>
      </c>
      <c r="I6" s="27">
        <f t="shared" si="5"/>
        <v>0.17196270053837298</v>
      </c>
      <c r="J6" s="27">
        <f t="shared" si="5"/>
        <v>0.18476248003149906</v>
      </c>
      <c r="K6" s="28">
        <f t="shared" si="5"/>
        <v>9.9741879507199982E-2</v>
      </c>
      <c r="M6" s="84" t="s">
        <v>210</v>
      </c>
      <c r="N6" s="79">
        <f>((B20+B27)/B3)</f>
        <v>0.14576065218352979</v>
      </c>
      <c r="O6" s="79">
        <f t="shared" ref="O6:R6" si="6">((C20+C27)/C3)</f>
        <v>7.1414940132144597E-2</v>
      </c>
      <c r="P6" s="79">
        <f t="shared" si="6"/>
        <v>8.7244889055816358E-2</v>
      </c>
      <c r="Q6" s="79">
        <f t="shared" si="6"/>
        <v>9.9213309942081884E-2</v>
      </c>
      <c r="R6" s="80">
        <f t="shared" si="6"/>
        <v>9.2238504547043965E-2</v>
      </c>
    </row>
    <row r="7" spans="1:18">
      <c r="A7" s="1" t="s">
        <v>4</v>
      </c>
      <c r="B7" s="4">
        <v>8058.2209713000002</v>
      </c>
      <c r="C7" s="4">
        <v>11272.1296033</v>
      </c>
      <c r="D7" s="4">
        <v>11426.010768100001</v>
      </c>
      <c r="E7" s="4">
        <v>11377.965721299999</v>
      </c>
      <c r="F7" s="5">
        <v>15896.576733800001</v>
      </c>
      <c r="G7" s="27">
        <f>B7/B3</f>
        <v>3.1989684135890192E-2</v>
      </c>
      <c r="H7" s="27">
        <f t="shared" ref="H7:K7" si="7">C7/C3</f>
        <v>4.2262187011751842E-2</v>
      </c>
      <c r="I7" s="27">
        <f t="shared" si="7"/>
        <v>3.9403160820377349E-2</v>
      </c>
      <c r="J7" s="27">
        <f t="shared" si="7"/>
        <v>3.7437646652172404E-2</v>
      </c>
      <c r="K7" s="28">
        <f t="shared" si="7"/>
        <v>3.3813822932311131E-2</v>
      </c>
      <c r="M7" s="85" t="s">
        <v>211</v>
      </c>
      <c r="N7" s="119">
        <f>(B20+B27)-B5</f>
        <v>23571.537467299997</v>
      </c>
      <c r="O7" s="119">
        <f t="shared" ref="O7:R7" si="8">(C20+C27)-C5</f>
        <v>7193.9724710999999</v>
      </c>
      <c r="P7" s="119">
        <f t="shared" si="8"/>
        <v>14730.006615800001</v>
      </c>
      <c r="Q7" s="119">
        <f t="shared" si="8"/>
        <v>23924.813169200002</v>
      </c>
      <c r="R7" s="120">
        <f t="shared" si="8"/>
        <v>21206.9809498</v>
      </c>
    </row>
    <row r="8" spans="1:18">
      <c r="A8" s="1" t="s">
        <v>2</v>
      </c>
      <c r="B8" s="4">
        <v>5511.9537527000002</v>
      </c>
      <c r="C8" s="4">
        <v>5970.6363934999999</v>
      </c>
      <c r="D8" s="4">
        <v>7300.7450190999998</v>
      </c>
      <c r="E8" s="4">
        <v>8535.8030935999996</v>
      </c>
      <c r="F8" s="5">
        <v>11706.926076100001</v>
      </c>
      <c r="G8" s="27">
        <f>B8/B3</f>
        <v>2.1881462440469873E-2</v>
      </c>
      <c r="H8" s="27">
        <f t="shared" ref="H8:K8" si="9">C8/C3</f>
        <v>2.2385490650089442E-2</v>
      </c>
      <c r="I8" s="27">
        <f t="shared" si="9"/>
        <v>2.5176978731659506E-2</v>
      </c>
      <c r="J8" s="27">
        <f t="shared" si="9"/>
        <v>2.8085897597009569E-2</v>
      </c>
      <c r="K8" s="28">
        <f t="shared" si="9"/>
        <v>2.490196046908735E-2</v>
      </c>
    </row>
    <row r="9" spans="1:18">
      <c r="A9" s="1" t="s">
        <v>5</v>
      </c>
      <c r="B9" s="4">
        <v>6838</v>
      </c>
      <c r="C9" s="4">
        <v>6555</v>
      </c>
      <c r="D9" s="4">
        <v>1748</v>
      </c>
      <c r="E9" s="4">
        <v>3657</v>
      </c>
      <c r="F9" s="5">
        <v>19518</v>
      </c>
      <c r="G9" s="27">
        <f>B9/B3</f>
        <v>2.7145626919427582E-2</v>
      </c>
      <c r="H9" s="27">
        <f t="shared" ref="H9:K9" si="10">C9/C3</f>
        <v>2.4576423942192002E-2</v>
      </c>
      <c r="I9" s="27">
        <f t="shared" si="10"/>
        <v>6.0280640822004865E-3</v>
      </c>
      <c r="J9" s="27">
        <f t="shared" si="10"/>
        <v>1.2032860456829693E-2</v>
      </c>
      <c r="K9" s="28">
        <f t="shared" si="10"/>
        <v>4.1517001241504654E-2</v>
      </c>
    </row>
    <row r="10" spans="1:18">
      <c r="A10" s="8" t="s">
        <v>35</v>
      </c>
      <c r="B10" s="9">
        <v>211875.4209201</v>
      </c>
      <c r="C10" s="9">
        <v>200309.06372820001</v>
      </c>
      <c r="D10" s="9">
        <v>209067.64279290001</v>
      </c>
      <c r="E10" s="9">
        <v>217966.06390430001</v>
      </c>
      <c r="F10" s="10">
        <v>353951.92883729999</v>
      </c>
      <c r="G10" s="25">
        <f>B10/B3</f>
        <v>0.84110721405289801</v>
      </c>
      <c r="H10" s="25">
        <f t="shared" ref="H10:K10" si="11">C10/C3</f>
        <v>0.7510115132948586</v>
      </c>
      <c r="I10" s="25">
        <f t="shared" si="11"/>
        <v>0.72098006193947484</v>
      </c>
      <c r="J10" s="25">
        <f t="shared" si="11"/>
        <v>0.71718764869698259</v>
      </c>
      <c r="K10" s="26">
        <f t="shared" si="11"/>
        <v>0.75289592524701043</v>
      </c>
    </row>
    <row r="11" spans="1:18">
      <c r="A11" s="1" t="s">
        <v>10</v>
      </c>
      <c r="B11" s="4">
        <v>6850.7950737000001</v>
      </c>
      <c r="C11" s="4">
        <v>10127.4303363</v>
      </c>
      <c r="D11" s="4">
        <v>11278.3239201</v>
      </c>
      <c r="E11" s="4">
        <v>9651.1415429999997</v>
      </c>
      <c r="F11" s="5">
        <v>5401.6574238000003</v>
      </c>
      <c r="G11" s="27">
        <f>B11/B3</f>
        <v>2.7196421054710818E-2</v>
      </c>
      <c r="H11" s="27">
        <f t="shared" ref="H11:K11" si="12">C11/C3</f>
        <v>3.7970407534694876E-2</v>
      </c>
      <c r="I11" s="27">
        <f t="shared" si="12"/>
        <v>3.8893855452046565E-2</v>
      </c>
      <c r="J11" s="27">
        <f t="shared" si="12"/>
        <v>3.1755766867933008E-2</v>
      </c>
      <c r="K11" s="28">
        <f t="shared" si="12"/>
        <v>1.148993841428873E-2</v>
      </c>
    </row>
    <row r="12" spans="1:18">
      <c r="A12" s="1" t="s">
        <v>9</v>
      </c>
      <c r="B12" s="4">
        <v>2565.7745786</v>
      </c>
      <c r="C12" s="4">
        <v>2625.0993481999999</v>
      </c>
      <c r="D12" s="4">
        <v>2687.3100980999998</v>
      </c>
      <c r="E12" s="4">
        <v>2607.4910288999999</v>
      </c>
      <c r="F12" s="5">
        <v>2778.6307181000002</v>
      </c>
      <c r="G12" s="27">
        <f>B12/B3</f>
        <v>1.0185662396903643E-2</v>
      </c>
      <c r="H12" s="27">
        <f t="shared" ref="H12:K12" si="13">C12/C3</f>
        <v>9.8421898507605032E-3</v>
      </c>
      <c r="I12" s="27">
        <f t="shared" si="13"/>
        <v>9.2673212128668615E-3</v>
      </c>
      <c r="J12" s="27">
        <f t="shared" si="13"/>
        <v>8.5795941190016344E-3</v>
      </c>
      <c r="K12" s="28">
        <f t="shared" si="13"/>
        <v>5.9104629046541996E-3</v>
      </c>
    </row>
    <row r="13" spans="1:18">
      <c r="A13" s="1" t="s">
        <v>7</v>
      </c>
      <c r="B13" s="4">
        <v>184821.39652730001</v>
      </c>
      <c r="C13" s="4">
        <v>169140.84201789999</v>
      </c>
      <c r="D13" s="4">
        <v>170790.86486510001</v>
      </c>
      <c r="E13" s="4">
        <v>181748.8681628</v>
      </c>
      <c r="F13" s="5">
        <v>283744.90873099997</v>
      </c>
      <c r="G13" s="27">
        <f>B13/B3</f>
        <v>0.73370761580252619</v>
      </c>
      <c r="H13" s="27">
        <f t="shared" ref="H13:K13" si="14">C13/C3</f>
        <v>0.63415362919469598</v>
      </c>
      <c r="I13" s="27">
        <f t="shared" si="14"/>
        <v>0.58898070827303572</v>
      </c>
      <c r="J13" s="27">
        <f t="shared" si="14"/>
        <v>0.59801989849322101</v>
      </c>
      <c r="K13" s="28">
        <f t="shared" si="14"/>
        <v>0.60355762516935907</v>
      </c>
    </row>
    <row r="14" spans="1:18">
      <c r="A14" s="1" t="s">
        <v>8</v>
      </c>
      <c r="B14" s="4">
        <v>2681.45147</v>
      </c>
      <c r="C14" s="4">
        <v>2759.84267</v>
      </c>
      <c r="D14" s="4">
        <v>8737.5451599999997</v>
      </c>
      <c r="E14" s="4">
        <v>8241.8567800000001</v>
      </c>
      <c r="F14" s="5">
        <v>30774.069920000002</v>
      </c>
      <c r="G14" s="29">
        <f>B14/B3</f>
        <v>1.0644878796017937E-2</v>
      </c>
      <c r="H14" s="27">
        <f t="shared" ref="H14:K14" si="15">C14/C3</f>
        <v>1.0347378103992539E-2</v>
      </c>
      <c r="I14" s="27">
        <f t="shared" si="15"/>
        <v>3.0131854774371112E-2</v>
      </c>
      <c r="J14" s="27">
        <f t="shared" si="15"/>
        <v>2.7118707284363056E-2</v>
      </c>
      <c r="K14" s="28">
        <f t="shared" si="15"/>
        <v>6.5459939495583111E-2</v>
      </c>
    </row>
    <row r="15" spans="1:18">
      <c r="A15" s="1" t="s">
        <v>36</v>
      </c>
      <c r="B15" s="4">
        <v>14892</v>
      </c>
      <c r="C15" s="4">
        <v>15594</v>
      </c>
      <c r="D15" s="4">
        <v>15574</v>
      </c>
      <c r="E15" s="4">
        <v>15717</v>
      </c>
      <c r="F15" s="5">
        <v>29707</v>
      </c>
      <c r="G15" s="29">
        <f>B15/B3</f>
        <v>5.911855456041467E-2</v>
      </c>
      <c r="H15" s="27">
        <f t="shared" ref="H15:K15" si="16">C15/C3</f>
        <v>5.8466019062477809E-2</v>
      </c>
      <c r="I15" s="27">
        <f t="shared" si="16"/>
        <v>5.370770595891898E-2</v>
      </c>
      <c r="J15" s="27">
        <f t="shared" si="16"/>
        <v>5.1714648017498574E-2</v>
      </c>
      <c r="K15" s="28">
        <f t="shared" si="16"/>
        <v>6.3190160666122486E-2</v>
      </c>
    </row>
    <row r="16" spans="1:18">
      <c r="A16" s="2"/>
      <c r="B16" s="3"/>
      <c r="C16" s="7"/>
      <c r="D16" s="7"/>
      <c r="E16" s="7"/>
      <c r="F16" s="6"/>
      <c r="G16" s="16"/>
      <c r="H16" s="17"/>
      <c r="I16" s="17"/>
      <c r="J16" s="17"/>
      <c r="K16" s="18"/>
    </row>
    <row r="17" spans="1:11">
      <c r="A17" s="37" t="s">
        <v>11</v>
      </c>
      <c r="B17" s="38">
        <v>218783.3695996</v>
      </c>
      <c r="C17" s="38">
        <v>198062.14028699999</v>
      </c>
      <c r="D17" s="38">
        <v>197052.40815649999</v>
      </c>
      <c r="E17" s="38">
        <v>205765.6778802</v>
      </c>
      <c r="F17" s="39">
        <v>360488.74072910001</v>
      </c>
      <c r="G17" s="34">
        <f>B17/B40</f>
        <v>0.86853052461625846</v>
      </c>
      <c r="H17" s="35">
        <f>C17/C40</f>
        <v>0.74258720466713091</v>
      </c>
      <c r="I17" s="35">
        <f>D17/D40</f>
        <v>0.67954493359251567</v>
      </c>
      <c r="J17" s="35">
        <f>E17/E40</f>
        <v>0.6770439400430448</v>
      </c>
      <c r="K17" s="36">
        <f>F17/F40</f>
        <v>0.76680046605177243</v>
      </c>
    </row>
    <row r="18" spans="1:11">
      <c r="A18" s="8" t="s">
        <v>12</v>
      </c>
      <c r="B18" s="9">
        <v>79877.747727399998</v>
      </c>
      <c r="C18" s="9">
        <v>84449.269892800003</v>
      </c>
      <c r="D18" s="9">
        <v>84751.834128500006</v>
      </c>
      <c r="E18" s="9">
        <v>94098.643092800005</v>
      </c>
      <c r="F18" s="10">
        <v>169734.85891740001</v>
      </c>
      <c r="G18" s="25">
        <f t="shared" ref="G18:G39" si="17">B18/$B$40</f>
        <v>0.31710025431005479</v>
      </c>
      <c r="H18" s="25">
        <f t="shared" ref="H18:H39" si="18">C18/$C$40</f>
        <v>0.31662258710828722</v>
      </c>
      <c r="I18" s="25">
        <f t="shared" ref="I18:I39" si="19">D18/$D$40</f>
        <v>0.29227087369038929</v>
      </c>
      <c r="J18" s="25">
        <f t="shared" ref="J18:J39" si="20">E18/$E$40</f>
        <v>0.30961876989682352</v>
      </c>
      <c r="K18" s="26">
        <f t="shared" ref="K18:K39" si="21">F18/$F$40</f>
        <v>0.36104530937597668</v>
      </c>
    </row>
    <row r="19" spans="1:11">
      <c r="A19" s="1" t="s">
        <v>15</v>
      </c>
      <c r="B19" s="4">
        <v>8327.9186399999999</v>
      </c>
      <c r="C19" s="4">
        <v>9490.7953600000001</v>
      </c>
      <c r="D19" s="4">
        <v>13933.22732</v>
      </c>
      <c r="E19" s="4">
        <v>18141.13521</v>
      </c>
      <c r="F19" s="5">
        <v>34646.712679999997</v>
      </c>
      <c r="G19" s="27">
        <f t="shared" si="17"/>
        <v>3.3060335246678375E-2</v>
      </c>
      <c r="H19" s="27">
        <f t="shared" si="18"/>
        <v>3.5583495090165715E-2</v>
      </c>
      <c r="I19" s="27">
        <f t="shared" si="19"/>
        <v>4.8049420570283476E-2</v>
      </c>
      <c r="J19" s="27">
        <f t="shared" si="20"/>
        <v>5.9690934785455244E-2</v>
      </c>
      <c r="K19" s="28">
        <f t="shared" si="21"/>
        <v>7.3697490180838959E-2</v>
      </c>
    </row>
    <row r="20" spans="1:11">
      <c r="A20" s="1" t="s">
        <v>13</v>
      </c>
      <c r="B20" s="4">
        <v>19008.869740800001</v>
      </c>
      <c r="C20" s="4">
        <v>9855.6822952000002</v>
      </c>
      <c r="D20" s="4">
        <v>9060.5109979000008</v>
      </c>
      <c r="E20" s="4">
        <v>10214.076800000001</v>
      </c>
      <c r="F20" s="5">
        <v>25170.217400000001</v>
      </c>
      <c r="G20" s="27">
        <f t="shared" si="17"/>
        <v>7.5461785045883717E-2</v>
      </c>
      <c r="H20" s="27">
        <f t="shared" si="18"/>
        <v>3.695155245255255E-2</v>
      </c>
      <c r="I20" s="27">
        <f t="shared" si="19"/>
        <v>3.1245618371191258E-2</v>
      </c>
      <c r="J20" s="27">
        <f t="shared" si="20"/>
        <v>3.3608028665502207E-2</v>
      </c>
      <c r="K20" s="28">
        <f t="shared" si="21"/>
        <v>5.3539909163067022E-2</v>
      </c>
    </row>
    <row r="21" spans="1:11">
      <c r="A21" s="1" t="s">
        <v>17</v>
      </c>
      <c r="B21" s="4">
        <v>939.46500739999999</v>
      </c>
      <c r="C21" s="4">
        <v>2302.600265</v>
      </c>
      <c r="D21" s="4">
        <v>7471.0450884000002</v>
      </c>
      <c r="E21" s="4">
        <v>2014.3156739999999</v>
      </c>
      <c r="F21" s="5">
        <v>2754.4845406999998</v>
      </c>
      <c r="G21" s="27">
        <f t="shared" si="17"/>
        <v>3.7295066678469831E-3</v>
      </c>
      <c r="H21" s="27">
        <f t="shared" si="18"/>
        <v>8.6330557257154657E-3</v>
      </c>
      <c r="I21" s="27">
        <f t="shared" si="19"/>
        <v>2.5764266907265406E-2</v>
      </c>
      <c r="J21" s="27">
        <f t="shared" si="20"/>
        <v>6.6278313976611564E-3</v>
      </c>
      <c r="K21" s="28">
        <f t="shared" si="21"/>
        <v>5.8591012447969703E-3</v>
      </c>
    </row>
    <row r="22" spans="1:11">
      <c r="A22" s="1" t="s">
        <v>14</v>
      </c>
      <c r="B22" s="4">
        <v>39472.610943</v>
      </c>
      <c r="C22" s="4">
        <v>43719.551375000003</v>
      </c>
      <c r="D22" s="4">
        <v>27502.288224700002</v>
      </c>
      <c r="E22" s="4">
        <v>27179.636439900001</v>
      </c>
      <c r="F22" s="5">
        <v>47234.9922066</v>
      </c>
      <c r="G22" s="27">
        <f t="shared" si="17"/>
        <v>0.15669914743995211</v>
      </c>
      <c r="H22" s="27">
        <f t="shared" si="18"/>
        <v>0.16391612954307344</v>
      </c>
      <c r="I22" s="27">
        <f t="shared" si="19"/>
        <v>9.4842995323625084E-2</v>
      </c>
      <c r="J22" s="27">
        <f t="shared" si="20"/>
        <v>8.9430892138003856E-2</v>
      </c>
      <c r="K22" s="28">
        <f t="shared" si="21"/>
        <v>0.10047418947043113</v>
      </c>
    </row>
    <row r="23" spans="1:11">
      <c r="A23" s="1" t="s">
        <v>16</v>
      </c>
      <c r="B23" s="4">
        <v>548.64936309999996</v>
      </c>
      <c r="C23" s="4">
        <v>1317.9706682999999</v>
      </c>
      <c r="D23" s="4">
        <v>2830.8501034999999</v>
      </c>
      <c r="E23" s="4">
        <v>1610.9615558999999</v>
      </c>
      <c r="F23" s="5">
        <v>6529.2699000000002</v>
      </c>
      <c r="G23" s="27">
        <f t="shared" si="17"/>
        <v>2.1780390348485165E-3</v>
      </c>
      <c r="H23" s="27">
        <f t="shared" si="18"/>
        <v>4.9414196624755239E-3</v>
      </c>
      <c r="I23" s="27">
        <f t="shared" si="19"/>
        <v>9.7623259902790416E-3</v>
      </c>
      <c r="J23" s="27">
        <f t="shared" si="20"/>
        <v>5.3006496044467992E-3</v>
      </c>
      <c r="K23" s="28">
        <f t="shared" si="21"/>
        <v>1.388849813220714E-2</v>
      </c>
    </row>
    <row r="24" spans="1:11">
      <c r="A24" s="1" t="s">
        <v>18</v>
      </c>
      <c r="B24" s="4">
        <v>11035</v>
      </c>
      <c r="C24" s="4">
        <v>17276</v>
      </c>
      <c r="D24" s="4">
        <v>23954</v>
      </c>
      <c r="E24" s="4">
        <v>34939</v>
      </c>
      <c r="F24" s="5">
        <v>49241</v>
      </c>
      <c r="G24" s="27">
        <f t="shared" si="17"/>
        <v>4.3806960084218097E-2</v>
      </c>
      <c r="H24" s="27">
        <f t="shared" si="18"/>
        <v>6.4772280705639701E-2</v>
      </c>
      <c r="I24" s="27">
        <f t="shared" si="19"/>
        <v>8.2606548641350266E-2</v>
      </c>
      <c r="J24" s="27">
        <f t="shared" si="20"/>
        <v>0.11496202119255472</v>
      </c>
      <c r="K24" s="28">
        <f t="shared" si="21"/>
        <v>0.10474119572358492</v>
      </c>
    </row>
    <row r="25" spans="1:11">
      <c r="A25" s="8" t="s">
        <v>19</v>
      </c>
      <c r="B25" s="9">
        <v>138905.62187219999</v>
      </c>
      <c r="C25" s="9">
        <v>113612.8703941</v>
      </c>
      <c r="D25" s="9">
        <v>112300.574028</v>
      </c>
      <c r="E25" s="9">
        <v>111667.0347874</v>
      </c>
      <c r="F25" s="10">
        <v>190753.8818116</v>
      </c>
      <c r="G25" s="25">
        <f t="shared" si="17"/>
        <v>0.55143027030620362</v>
      </c>
      <c r="H25" s="25">
        <f t="shared" si="18"/>
        <v>0.42596461755846887</v>
      </c>
      <c r="I25" s="25">
        <f t="shared" si="19"/>
        <v>0.38727405990212649</v>
      </c>
      <c r="J25" s="25">
        <f t="shared" si="20"/>
        <v>0.36742517014622128</v>
      </c>
      <c r="K25" s="26">
        <f t="shared" si="21"/>
        <v>0.40575515667558298</v>
      </c>
    </row>
    <row r="26" spans="1:11">
      <c r="A26" s="1" t="s">
        <v>20</v>
      </c>
      <c r="B26" s="4">
        <v>12444.139510000001</v>
      </c>
      <c r="C26" s="4">
        <v>10582.31365</v>
      </c>
      <c r="D26" s="4">
        <v>18305.284909999998</v>
      </c>
      <c r="E26" s="4">
        <v>18428.366679999999</v>
      </c>
      <c r="F26" s="5">
        <v>14631.07639</v>
      </c>
      <c r="G26" s="27">
        <f t="shared" si="17"/>
        <v>4.9400989832080779E-2</v>
      </c>
      <c r="H26" s="27">
        <f t="shared" si="18"/>
        <v>3.967588505747411E-2</v>
      </c>
      <c r="I26" s="27">
        <f t="shared" si="19"/>
        <v>6.3126676476233184E-2</v>
      </c>
      <c r="J26" s="27">
        <f t="shared" si="20"/>
        <v>6.0636030819723782E-2</v>
      </c>
      <c r="K26" s="28">
        <f t="shared" si="21"/>
        <v>3.1121960070098341E-2</v>
      </c>
    </row>
    <row r="27" spans="1:11">
      <c r="A27" s="1" t="s">
        <v>21</v>
      </c>
      <c r="B27" s="4">
        <v>17708.3275665</v>
      </c>
      <c r="C27" s="4">
        <v>9192.0413958999998</v>
      </c>
      <c r="D27" s="4">
        <v>16238.5010879</v>
      </c>
      <c r="E27" s="4">
        <v>19938.610149200002</v>
      </c>
      <c r="F27" s="5">
        <v>18193.009179799999</v>
      </c>
      <c r="G27" s="27">
        <f t="shared" si="17"/>
        <v>7.0298867137646076E-2</v>
      </c>
      <c r="H27" s="27">
        <f t="shared" si="18"/>
        <v>3.4463387679618838E-2</v>
      </c>
      <c r="I27" s="27">
        <f t="shared" si="19"/>
        <v>5.599927068465519E-2</v>
      </c>
      <c r="J27" s="27">
        <f t="shared" si="20"/>
        <v>6.5605281276579677E-2</v>
      </c>
      <c r="K27" s="28">
        <f t="shared" si="21"/>
        <v>3.869859538397695E-2</v>
      </c>
    </row>
    <row r="28" spans="1:11">
      <c r="A28" s="1" t="s">
        <v>25</v>
      </c>
      <c r="B28" s="4">
        <v>228.1309043</v>
      </c>
      <c r="C28" s="4">
        <v>266.01387069999998</v>
      </c>
      <c r="D28" s="4">
        <v>955.63386060000005</v>
      </c>
      <c r="E28" s="4">
        <v>875.37920169999995</v>
      </c>
      <c r="F28" s="5">
        <v>1879.4776127</v>
      </c>
      <c r="G28" s="27">
        <f t="shared" si="17"/>
        <v>9.0563855175774166E-4</v>
      </c>
      <c r="H28" s="27">
        <f t="shared" si="18"/>
        <v>9.9735616488620888E-4</v>
      </c>
      <c r="I28" s="27">
        <f t="shared" si="19"/>
        <v>3.2955504295305686E-3</v>
      </c>
      <c r="J28" s="27">
        <f t="shared" si="20"/>
        <v>2.8803160461763943E-3</v>
      </c>
      <c r="K28" s="28">
        <f t="shared" si="21"/>
        <v>3.9978621979632183E-3</v>
      </c>
    </row>
    <row r="29" spans="1:11">
      <c r="A29" s="1" t="s">
        <v>22</v>
      </c>
      <c r="B29" s="4">
        <v>67892.910857299998</v>
      </c>
      <c r="C29" s="4">
        <v>51735.606354800002</v>
      </c>
      <c r="D29" s="4">
        <v>40289.397528200003</v>
      </c>
      <c r="E29" s="4">
        <v>33799.298652899997</v>
      </c>
      <c r="F29" s="5">
        <v>89100.986442399997</v>
      </c>
      <c r="G29" s="27">
        <f t="shared" si="17"/>
        <v>0.26952261313340448</v>
      </c>
      <c r="H29" s="27">
        <f t="shared" si="18"/>
        <v>0.19397043397138131</v>
      </c>
      <c r="I29" s="27">
        <f t="shared" si="19"/>
        <v>0.1389399714721529</v>
      </c>
      <c r="J29" s="27">
        <f t="shared" si="20"/>
        <v>0.11121198912470809</v>
      </c>
      <c r="K29" s="28">
        <f t="shared" si="21"/>
        <v>0.18952791088986629</v>
      </c>
    </row>
    <row r="30" spans="1:11">
      <c r="A30" s="1" t="s">
        <v>23</v>
      </c>
      <c r="B30" s="4">
        <v>16053.0067425</v>
      </c>
      <c r="C30" s="4">
        <v>16224.8064024</v>
      </c>
      <c r="D30" s="4">
        <v>14620.1872595</v>
      </c>
      <c r="E30" s="4">
        <v>18244.0209201</v>
      </c>
      <c r="F30" s="5">
        <v>25588.532338699999</v>
      </c>
      <c r="G30" s="27">
        <f t="shared" si="17"/>
        <v>6.3727541966504889E-2</v>
      </c>
      <c r="H30" s="27">
        <f t="shared" si="18"/>
        <v>6.083107864615149E-2</v>
      </c>
      <c r="I30" s="27">
        <f t="shared" si="19"/>
        <v>5.0418435751754871E-2</v>
      </c>
      <c r="J30" s="27">
        <f t="shared" si="20"/>
        <v>6.0029466202637397E-2</v>
      </c>
      <c r="K30" s="28">
        <f t="shared" si="21"/>
        <v>5.4429712515323796E-2</v>
      </c>
    </row>
    <row r="31" spans="1:11">
      <c r="A31" s="1" t="s">
        <v>24</v>
      </c>
      <c r="B31" s="4">
        <v>2178.4348408999999</v>
      </c>
      <c r="C31" s="4">
        <v>1397.0731840999999</v>
      </c>
      <c r="D31" s="4">
        <v>721.21596820000002</v>
      </c>
      <c r="E31" s="4">
        <v>1427.1046209000001</v>
      </c>
      <c r="F31" s="5">
        <v>7823.6026700000002</v>
      </c>
      <c r="G31" s="27">
        <f t="shared" si="17"/>
        <v>8.6479934863050566E-3</v>
      </c>
      <c r="H31" s="27">
        <f t="shared" si="18"/>
        <v>5.2379958582337962E-3</v>
      </c>
      <c r="I31" s="27">
        <f t="shared" si="19"/>
        <v>2.4871487834195469E-3</v>
      </c>
      <c r="J31" s="27">
        <f t="shared" si="20"/>
        <v>4.6956933991212854E-3</v>
      </c>
      <c r="K31" s="28">
        <f t="shared" si="21"/>
        <v>1.664169083735163E-2</v>
      </c>
    </row>
    <row r="32" spans="1:11">
      <c r="A32" s="2" t="s">
        <v>26</v>
      </c>
      <c r="B32" s="7">
        <v>22401</v>
      </c>
      <c r="C32" s="7">
        <v>24215</v>
      </c>
      <c r="D32" s="7">
        <v>21170</v>
      </c>
      <c r="E32" s="7">
        <v>18954</v>
      </c>
      <c r="F32" s="6">
        <v>33260</v>
      </c>
      <c r="G32" s="27">
        <f t="shared" si="17"/>
        <v>8.8927930479979128E-2</v>
      </c>
      <c r="H32" s="27">
        <f t="shared" si="18"/>
        <v>9.0788421931411525E-2</v>
      </c>
      <c r="I32" s="27">
        <f t="shared" si="19"/>
        <v>7.3005787540176378E-2</v>
      </c>
      <c r="J32" s="27">
        <f t="shared" si="20"/>
        <v>6.2365555673707954E-2</v>
      </c>
      <c r="K32" s="30">
        <f t="shared" si="21"/>
        <v>7.0747794922248419E-2</v>
      </c>
    </row>
    <row r="33" spans="1:12">
      <c r="A33" s="31" t="s">
        <v>27</v>
      </c>
      <c r="B33" s="32">
        <v>33117.241143200001</v>
      </c>
      <c r="C33" s="32">
        <v>68656.891554899994</v>
      </c>
      <c r="D33" s="32">
        <v>92924.602068199994</v>
      </c>
      <c r="E33" s="32">
        <v>98152.082416300007</v>
      </c>
      <c r="F33" s="33">
        <v>109631.9186717</v>
      </c>
      <c r="G33" s="34">
        <f t="shared" si="17"/>
        <v>0.13146947538374154</v>
      </c>
      <c r="H33" s="35">
        <f t="shared" si="18"/>
        <v>0.25741279533286909</v>
      </c>
      <c r="I33" s="35">
        <f t="shared" si="19"/>
        <v>0.32045506640748433</v>
      </c>
      <c r="J33" s="35">
        <f t="shared" si="20"/>
        <v>0.32295605995695525</v>
      </c>
      <c r="K33" s="35">
        <f t="shared" si="21"/>
        <v>0.23319953394822757</v>
      </c>
      <c r="L33" s="15"/>
    </row>
    <row r="34" spans="1:12">
      <c r="A34" s="8" t="s">
        <v>28</v>
      </c>
      <c r="B34" s="9">
        <v>32065.0053444</v>
      </c>
      <c r="C34" s="9">
        <v>67539.037494200005</v>
      </c>
      <c r="D34" s="9">
        <v>89941.906650999998</v>
      </c>
      <c r="E34" s="9">
        <v>95259.990876099997</v>
      </c>
      <c r="F34" s="10">
        <v>104728.8228864</v>
      </c>
      <c r="G34" s="25">
        <f t="shared" si="17"/>
        <v>0.12729228900973003</v>
      </c>
      <c r="H34" s="25">
        <f t="shared" si="18"/>
        <v>0.25322166561490206</v>
      </c>
      <c r="I34" s="25">
        <f t="shared" si="19"/>
        <v>0.31016909437511964</v>
      </c>
      <c r="J34" s="25">
        <f t="shared" si="20"/>
        <v>0.31344002661497977</v>
      </c>
      <c r="K34" s="26">
        <f t="shared" si="21"/>
        <v>0.22277009272445894</v>
      </c>
    </row>
    <row r="35" spans="1:12">
      <c r="A35" s="1" t="s">
        <v>29</v>
      </c>
      <c r="B35" s="4">
        <v>8766.0253499999999</v>
      </c>
      <c r="C35" s="4">
        <v>17446.58095</v>
      </c>
      <c r="D35" s="4">
        <v>18466.572749999999</v>
      </c>
      <c r="E35" s="4">
        <v>18466.572749999999</v>
      </c>
      <c r="F35" s="5">
        <v>18466.572749999999</v>
      </c>
      <c r="G35" s="27">
        <f t="shared" si="17"/>
        <v>3.4799539882618392E-2</v>
      </c>
      <c r="H35" s="27">
        <f t="shared" si="18"/>
        <v>6.5411833679501402E-2</v>
      </c>
      <c r="I35" s="27">
        <f t="shared" si="19"/>
        <v>6.3682885535272113E-2</v>
      </c>
      <c r="J35" s="27">
        <f t="shared" si="20"/>
        <v>6.0761742689812347E-2</v>
      </c>
      <c r="K35" s="28">
        <f t="shared" si="21"/>
        <v>3.9280496146535809E-2</v>
      </c>
    </row>
    <row r="36" spans="1:12">
      <c r="A36" s="1" t="s">
        <v>30</v>
      </c>
      <c r="B36" s="4">
        <v>15185.77101</v>
      </c>
      <c r="C36" s="4">
        <v>39484.34923</v>
      </c>
      <c r="D36" s="4">
        <v>41455.844620000003</v>
      </c>
      <c r="E36" s="4">
        <v>41453.426319999999</v>
      </c>
      <c r="F36" s="5">
        <v>41453.426319999999</v>
      </c>
      <c r="G36" s="27">
        <f t="shared" si="17"/>
        <v>6.0284772495074433E-2</v>
      </c>
      <c r="H36" s="27">
        <f t="shared" si="18"/>
        <v>0.14803723962752194</v>
      </c>
      <c r="I36" s="27">
        <f t="shared" si="19"/>
        <v>0.14296252171120852</v>
      </c>
      <c r="J36" s="27">
        <f t="shared" si="20"/>
        <v>0.13639685380531341</v>
      </c>
      <c r="K36" s="28">
        <f t="shared" si="21"/>
        <v>8.8176142637158603E-2</v>
      </c>
    </row>
    <row r="37" spans="1:12">
      <c r="A37" s="1" t="s">
        <v>31</v>
      </c>
      <c r="B37" s="4">
        <v>6556.6724599999998</v>
      </c>
      <c r="C37" s="4">
        <v>6507.6833800000004</v>
      </c>
      <c r="D37" s="4">
        <v>9482.6691900000005</v>
      </c>
      <c r="E37" s="4">
        <v>9420.59843</v>
      </c>
      <c r="F37" s="5">
        <v>9953.3222399999995</v>
      </c>
      <c r="G37" s="27">
        <f t="shared" si="17"/>
        <v>2.6028807316765934E-2</v>
      </c>
      <c r="H37" s="27">
        <f t="shared" si="18"/>
        <v>2.4399021453622726E-2</v>
      </c>
      <c r="I37" s="27">
        <f t="shared" si="19"/>
        <v>3.2701451686297428E-2</v>
      </c>
      <c r="J37" s="27">
        <f t="shared" si="20"/>
        <v>3.0997196152042352E-2</v>
      </c>
      <c r="K37" s="28">
        <f t="shared" si="21"/>
        <v>2.1171846080293873E-2</v>
      </c>
    </row>
    <row r="38" spans="1:12">
      <c r="A38" s="1" t="s">
        <v>32</v>
      </c>
      <c r="B38" s="4">
        <v>-5225.0302916999999</v>
      </c>
      <c r="C38" s="4">
        <v>1100.7681795999999</v>
      </c>
      <c r="D38" s="4">
        <v>20536.837051300001</v>
      </c>
      <c r="E38" s="4">
        <v>25919.411069500002</v>
      </c>
      <c r="F38" s="5">
        <v>34855.520131600002</v>
      </c>
      <c r="G38" s="27">
        <f t="shared" si="17"/>
        <v>-2.0742428040537594E-2</v>
      </c>
      <c r="H38" s="27">
        <f t="shared" si="18"/>
        <v>4.1270702431631867E-3</v>
      </c>
      <c r="I38" s="27">
        <f t="shared" si="19"/>
        <v>7.0822293930771385E-2</v>
      </c>
      <c r="J38" s="27">
        <f t="shared" si="20"/>
        <v>8.5284292185534696E-2</v>
      </c>
      <c r="K38" s="28">
        <f t="shared" si="21"/>
        <v>7.4141647329487026E-2</v>
      </c>
    </row>
    <row r="39" spans="1:12">
      <c r="A39" s="19" t="s">
        <v>33</v>
      </c>
      <c r="B39" s="20">
        <v>1052.2357988000001</v>
      </c>
      <c r="C39" s="20">
        <v>1117.8540607</v>
      </c>
      <c r="D39" s="20">
        <v>2982.6954172000001</v>
      </c>
      <c r="E39" s="20">
        <v>2892.0915401000002</v>
      </c>
      <c r="F39" s="21">
        <v>4903.0957853</v>
      </c>
      <c r="G39" s="25">
        <f t="shared" si="17"/>
        <v>4.1771863740115043E-3</v>
      </c>
      <c r="H39" s="25">
        <f t="shared" si="18"/>
        <v>4.191129717967099E-3</v>
      </c>
      <c r="I39" s="25">
        <f t="shared" si="19"/>
        <v>1.0285972032364712E-2</v>
      </c>
      <c r="J39" s="25">
        <f t="shared" si="20"/>
        <v>9.5160333416464248E-3</v>
      </c>
      <c r="K39" s="26">
        <f t="shared" si="21"/>
        <v>1.042944122376864E-2</v>
      </c>
    </row>
    <row r="40" spans="1:12">
      <c r="A40" s="40" t="s">
        <v>38</v>
      </c>
      <c r="B40" s="32">
        <f>B33+B17</f>
        <v>251900.6107428</v>
      </c>
      <c r="C40" s="32">
        <f t="shared" ref="C40:F40" si="22">C33+C17</f>
        <v>266719.03184189997</v>
      </c>
      <c r="D40" s="32">
        <f t="shared" si="22"/>
        <v>289977.01022469997</v>
      </c>
      <c r="E40" s="32">
        <f t="shared" si="22"/>
        <v>303917.7602965</v>
      </c>
      <c r="F40" s="32">
        <f t="shared" si="22"/>
        <v>470120.65940080001</v>
      </c>
      <c r="G40" s="34">
        <v>1</v>
      </c>
      <c r="H40" s="35">
        <v>1</v>
      </c>
      <c r="I40" s="35">
        <v>1</v>
      </c>
      <c r="J40" s="35">
        <v>1</v>
      </c>
      <c r="K40" s="36">
        <v>1</v>
      </c>
    </row>
  </sheetData>
  <mergeCells count="2">
    <mergeCell ref="B1:F1"/>
    <mergeCell ref="G1:K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6887-110B-423F-BA56-ED36409C1A2B}">
  <dimension ref="A1:M50"/>
  <sheetViews>
    <sheetView zoomScale="115" zoomScaleNormal="115" workbookViewId="0">
      <selection activeCell="D10" sqref="D10"/>
    </sheetView>
  </sheetViews>
  <sheetFormatPr defaultRowHeight="14.25"/>
  <cols>
    <col min="1" max="1" width="37.125" style="41" bestFit="1" customWidth="1"/>
    <col min="2" max="2" width="14.625" style="46" bestFit="1" customWidth="1"/>
    <col min="3" max="6" width="9" style="46"/>
    <col min="7" max="7" width="9" style="41"/>
    <col min="8" max="8" width="20.625" style="41" customWidth="1"/>
    <col min="9" max="9" width="9" style="42"/>
    <col min="10" max="16384" width="9" style="41"/>
  </cols>
  <sheetData>
    <row r="1" spans="1:13" ht="16.5">
      <c r="A1" s="50" t="s">
        <v>91</v>
      </c>
      <c r="B1" s="126" t="s">
        <v>89</v>
      </c>
      <c r="C1" s="127"/>
      <c r="D1" s="127"/>
      <c r="E1" s="127"/>
      <c r="F1" s="128"/>
    </row>
    <row r="2" spans="1:13">
      <c r="A2" s="51" t="s">
        <v>40</v>
      </c>
      <c r="B2" s="59">
        <v>2020</v>
      </c>
      <c r="C2" s="22">
        <v>2021</v>
      </c>
      <c r="D2" s="22">
        <v>2022</v>
      </c>
      <c r="E2" s="22">
        <v>2023</v>
      </c>
      <c r="F2" s="51">
        <v>2024</v>
      </c>
      <c r="H2" s="86" t="s">
        <v>206</v>
      </c>
      <c r="I2" s="87">
        <v>2020</v>
      </c>
      <c r="J2" s="88">
        <v>2021</v>
      </c>
      <c r="K2" s="88">
        <v>2022</v>
      </c>
      <c r="L2" s="88">
        <v>2023</v>
      </c>
      <c r="M2" s="89">
        <v>2024</v>
      </c>
    </row>
    <row r="3" spans="1:13" s="43" customFormat="1" ht="15">
      <c r="A3" s="52" t="s">
        <v>41</v>
      </c>
      <c r="B3" s="60">
        <v>76105.309162699996</v>
      </c>
      <c r="C3" s="61">
        <v>90168.246402999997</v>
      </c>
      <c r="D3" s="61">
        <v>140960.94819140001</v>
      </c>
      <c r="E3" s="61">
        <v>161117.96106140001</v>
      </c>
      <c r="F3" s="62">
        <v>178707.184958</v>
      </c>
      <c r="H3" s="84" t="s">
        <v>195</v>
      </c>
      <c r="I3" s="79">
        <f>B3/B3</f>
        <v>1</v>
      </c>
      <c r="J3" s="79">
        <f t="shared" ref="J3:M3" si="0">C3/C3</f>
        <v>1</v>
      </c>
      <c r="K3" s="79">
        <f t="shared" si="0"/>
        <v>1</v>
      </c>
      <c r="L3" s="79">
        <f t="shared" si="0"/>
        <v>1</v>
      </c>
      <c r="M3" s="80">
        <f t="shared" si="0"/>
        <v>1</v>
      </c>
    </row>
    <row r="4" spans="1:13">
      <c r="A4" s="53" t="s">
        <v>42</v>
      </c>
      <c r="B4" s="63">
        <v>75223.150450000001</v>
      </c>
      <c r="C4" s="23">
        <v>89297.287200000006</v>
      </c>
      <c r="D4" s="23">
        <v>140196.17968</v>
      </c>
      <c r="E4" s="23">
        <v>160303.01105999999</v>
      </c>
      <c r="F4" s="64">
        <v>177676.58496000001</v>
      </c>
      <c r="H4" s="84" t="s">
        <v>196</v>
      </c>
      <c r="I4" s="81">
        <f>B6/B3</f>
        <v>0.90008230402896872</v>
      </c>
      <c r="J4" s="81">
        <f t="shared" ref="J4:M4" si="1">C6/C3</f>
        <v>0.76657219583123981</v>
      </c>
      <c r="K4" s="81">
        <f t="shared" si="1"/>
        <v>0.72682828556307</v>
      </c>
      <c r="L4" s="81">
        <f t="shared" si="1"/>
        <v>0.79757103380937855</v>
      </c>
      <c r="M4" s="82">
        <f t="shared" si="1"/>
        <v>0.78970244594344374</v>
      </c>
    </row>
    <row r="5" spans="1:13">
      <c r="A5" s="53" t="s">
        <v>43</v>
      </c>
      <c r="B5" s="63">
        <v>882.15871000000004</v>
      </c>
      <c r="C5" s="23">
        <v>870.95920000000001</v>
      </c>
      <c r="D5" s="23">
        <v>764.76850999999999</v>
      </c>
      <c r="E5" s="23">
        <v>814.95</v>
      </c>
      <c r="F5" s="64">
        <v>1030.5999999999999</v>
      </c>
      <c r="H5" s="84" t="s">
        <v>197</v>
      </c>
      <c r="I5" s="81">
        <f>B7/B3</f>
        <v>9.9917695971031284E-2</v>
      </c>
      <c r="J5" s="81">
        <f t="shared" ref="J5:M5" si="2">C7/C3</f>
        <v>0.23342780416765119</v>
      </c>
      <c r="K5" s="81">
        <f t="shared" si="2"/>
        <v>0.27317171443692995</v>
      </c>
      <c r="L5" s="81">
        <f t="shared" si="2"/>
        <v>0.20242896619000073</v>
      </c>
      <c r="M5" s="82">
        <f t="shared" si="2"/>
        <v>0.21029755405599668</v>
      </c>
    </row>
    <row r="6" spans="1:13" s="43" customFormat="1" ht="15">
      <c r="A6" s="52" t="s">
        <v>46</v>
      </c>
      <c r="B6" s="60">
        <v>68501.042019999993</v>
      </c>
      <c r="C6" s="61">
        <v>69120.470639399995</v>
      </c>
      <c r="D6" s="61">
        <v>102454.40430530001</v>
      </c>
      <c r="E6" s="61">
        <v>128503.018769</v>
      </c>
      <c r="F6" s="62">
        <v>141125.50106899999</v>
      </c>
      <c r="H6" s="84" t="s">
        <v>198</v>
      </c>
      <c r="I6" s="79">
        <f>B8/B3</f>
        <v>8.5815652750819177E-2</v>
      </c>
      <c r="J6" s="79">
        <f t="shared" ref="J6:M6" si="3">C8/C3</f>
        <v>7.6169712834422948E-2</v>
      </c>
      <c r="K6" s="79">
        <f t="shared" si="3"/>
        <v>7.2365264845901056E-2</v>
      </c>
      <c r="L6" s="79">
        <f t="shared" si="3"/>
        <v>9.1324705745827198E-2</v>
      </c>
      <c r="M6" s="80">
        <f t="shared" si="3"/>
        <v>9.2216119418327122E-2</v>
      </c>
    </row>
    <row r="7" spans="1:13" s="43" customFormat="1" ht="15">
      <c r="A7" s="52" t="s">
        <v>48</v>
      </c>
      <c r="B7" s="60">
        <v>7604.2671426999996</v>
      </c>
      <c r="C7" s="61">
        <v>21047.775763500002</v>
      </c>
      <c r="D7" s="61">
        <v>38506.5438861</v>
      </c>
      <c r="E7" s="61">
        <v>32614.942292299998</v>
      </c>
      <c r="F7" s="62">
        <v>37581.683888899999</v>
      </c>
      <c r="H7" s="84" t="s">
        <v>199</v>
      </c>
      <c r="I7" s="79">
        <f>B15/B3</f>
        <v>1.4102043220212109E-2</v>
      </c>
      <c r="J7" s="79">
        <f t="shared" ref="J7:M7" si="4">C15/C3</f>
        <v>0.15725809133322821</v>
      </c>
      <c r="K7" s="79">
        <f t="shared" si="4"/>
        <v>0.20080644959102889</v>
      </c>
      <c r="L7" s="79">
        <f t="shared" si="4"/>
        <v>0.11110426044417356</v>
      </c>
      <c r="M7" s="80">
        <f t="shared" si="4"/>
        <v>0.11808143463766956</v>
      </c>
    </row>
    <row r="8" spans="1:13" s="43" customFormat="1" ht="15">
      <c r="A8" s="52" t="s">
        <v>49</v>
      </c>
      <c r="B8" s="60">
        <v>6531.0267836000003</v>
      </c>
      <c r="C8" s="61">
        <v>6868.0894353000003</v>
      </c>
      <c r="D8" s="61">
        <v>10200.6763488</v>
      </c>
      <c r="E8" s="61">
        <v>14714.050384300001</v>
      </c>
      <c r="F8" s="62">
        <v>16479.683109000001</v>
      </c>
      <c r="H8" s="84" t="s">
        <v>200</v>
      </c>
      <c r="I8" s="79">
        <f>B16/B3</f>
        <v>1.1060422581037932E-2</v>
      </c>
      <c r="J8" s="79">
        <f t="shared" ref="J8:M8" si="5">C16/C3</f>
        <v>4.0073301124771352E-2</v>
      </c>
      <c r="K8" s="79">
        <f t="shared" si="5"/>
        <v>2.7179425998169773E-2</v>
      </c>
      <c r="L8" s="79">
        <f t="shared" si="5"/>
        <v>2.7210953956457076E-2</v>
      </c>
      <c r="M8" s="80">
        <f t="shared" si="5"/>
        <v>3.6279651663271094E-2</v>
      </c>
    </row>
    <row r="9" spans="1:13">
      <c r="A9" s="53" t="s">
        <v>50</v>
      </c>
      <c r="B9" s="63">
        <v>3131.8128999999999</v>
      </c>
      <c r="C9" s="23">
        <v>3121.7180199999998</v>
      </c>
      <c r="D9" s="23">
        <v>3904.7803800000002</v>
      </c>
      <c r="E9" s="23">
        <v>4669.6899999999996</v>
      </c>
      <c r="F9" s="64">
        <v>5443.99</v>
      </c>
      <c r="H9" s="84" t="s">
        <v>201</v>
      </c>
      <c r="I9" s="79">
        <f>B19/B3</f>
        <v>9.8814379348001871E-2</v>
      </c>
      <c r="J9" s="79">
        <f t="shared" ref="J9:M9" si="6">C19/C3</f>
        <v>4.8576122024418911E-2</v>
      </c>
      <c r="K9" s="79">
        <f t="shared" si="6"/>
        <v>3.0725337659613144E-2</v>
      </c>
      <c r="L9" s="79">
        <f t="shared" si="6"/>
        <v>3.6659892051073575E-2</v>
      </c>
      <c r="M9" s="80">
        <f t="shared" si="6"/>
        <v>3.3395461807551888E-2</v>
      </c>
    </row>
    <row r="10" spans="1:13">
      <c r="A10" s="53" t="s">
        <v>51</v>
      </c>
      <c r="B10" s="63">
        <v>853.89976000000001</v>
      </c>
      <c r="C10" s="23">
        <v>751.28988000000004</v>
      </c>
      <c r="D10" s="23">
        <v>902.95902999999998</v>
      </c>
      <c r="E10" s="23">
        <v>995.24</v>
      </c>
      <c r="F10" s="64">
        <v>881.04</v>
      </c>
      <c r="H10" s="84" t="s">
        <v>202</v>
      </c>
      <c r="I10" s="79">
        <f>B22/B3</f>
        <v>0.11907266719890564</v>
      </c>
      <c r="J10" s="79">
        <f t="shared" ref="J10:M10" si="7">C22/C3</f>
        <v>6.3989237455193901E-2</v>
      </c>
      <c r="K10" s="79">
        <f t="shared" si="7"/>
        <v>6.8773403516247431E-2</v>
      </c>
      <c r="L10" s="79">
        <f t="shared" si="7"/>
        <v>3.550320561603993E-2</v>
      </c>
      <c r="M10" s="80">
        <f t="shared" si="7"/>
        <v>5.1212097332017786E-2</v>
      </c>
    </row>
    <row r="11" spans="1:13">
      <c r="A11" s="53" t="s">
        <v>52</v>
      </c>
      <c r="B11" s="63">
        <v>154.43241</v>
      </c>
      <c r="C11" s="23">
        <v>172.87576000000001</v>
      </c>
      <c r="D11" s="23">
        <v>364.13335999999998</v>
      </c>
      <c r="E11" s="23">
        <v>309.47000000000003</v>
      </c>
      <c r="F11" s="64">
        <v>572.22</v>
      </c>
      <c r="H11" s="84" t="s">
        <v>203</v>
      </c>
      <c r="I11" s="79">
        <f>B23/B3</f>
        <v>0.16849021626844249</v>
      </c>
      <c r="J11" s="79">
        <f t="shared" ref="J11:M11" si="8">C23/C3</f>
        <v>0.11924375186298698</v>
      </c>
      <c r="K11" s="79">
        <f t="shared" si="8"/>
        <v>8.4257378744878597E-2</v>
      </c>
      <c r="L11" s="79">
        <f t="shared" si="8"/>
        <v>3.9362464359781364E-2</v>
      </c>
      <c r="M11" s="80">
        <f t="shared" si="8"/>
        <v>6.9432015298747748E-2</v>
      </c>
    </row>
    <row r="12" spans="1:13">
      <c r="A12" s="53" t="s">
        <v>53</v>
      </c>
      <c r="B12" s="63">
        <v>557.69475</v>
      </c>
      <c r="C12" s="23">
        <v>376.67221999999998</v>
      </c>
      <c r="D12" s="23">
        <v>912.37896999999998</v>
      </c>
      <c r="E12" s="23">
        <v>2007.1</v>
      </c>
      <c r="F12" s="64">
        <v>2011.68</v>
      </c>
      <c r="H12" s="118" t="s">
        <v>212</v>
      </c>
      <c r="I12" s="79">
        <f>B29/B3</f>
        <v>-0.12294768492164473</v>
      </c>
      <c r="J12" s="79">
        <f t="shared" ref="J12:M12" si="9">C29/C3</f>
        <v>9.3504537958048681E-2</v>
      </c>
      <c r="K12" s="79">
        <f t="shared" si="9"/>
        <v>0.18176204338176519</v>
      </c>
      <c r="L12" s="79">
        <f t="shared" si="9"/>
        <v>9.7797312828426644E-2</v>
      </c>
      <c r="M12" s="80">
        <f t="shared" si="9"/>
        <v>0.10274772015414715</v>
      </c>
    </row>
    <row r="13" spans="1:13">
      <c r="A13" s="53" t="s">
        <v>54</v>
      </c>
      <c r="B13" s="63">
        <v>1280.3737799999999</v>
      </c>
      <c r="C13" s="23">
        <v>1916.29384</v>
      </c>
      <c r="D13" s="23">
        <v>3358.7565199999999</v>
      </c>
      <c r="E13" s="23">
        <v>4985.59</v>
      </c>
      <c r="F13" s="64">
        <v>6031.23</v>
      </c>
      <c r="H13" s="84" t="s">
        <v>204</v>
      </c>
      <c r="I13" s="79">
        <f>B31/B3</f>
        <v>-0.10819966534917971</v>
      </c>
      <c r="J13" s="79">
        <f>C31/C3</f>
        <v>6.418911937614695E-2</v>
      </c>
      <c r="K13" s="79">
        <f>D31/D3</f>
        <v>0.12269375842390343</v>
      </c>
      <c r="L13" s="79">
        <f>E31/E3</f>
        <v>7.0079445414512914E-2</v>
      </c>
      <c r="M13" s="80">
        <f>F31/F3</f>
        <v>7.7325266769479137E-2</v>
      </c>
    </row>
    <row r="14" spans="1:13">
      <c r="A14" s="53" t="s">
        <v>45</v>
      </c>
      <c r="B14" s="63">
        <v>552.81317999999999</v>
      </c>
      <c r="C14" s="23">
        <v>529.23972000000003</v>
      </c>
      <c r="D14" s="23">
        <v>757.66809000000001</v>
      </c>
      <c r="E14" s="23">
        <v>1746.96038</v>
      </c>
      <c r="F14" s="64">
        <v>1539.5231100000001</v>
      </c>
      <c r="H14" s="85" t="s">
        <v>205</v>
      </c>
      <c r="I14" s="78">
        <f>B33/B3</f>
        <v>-3.0223730446749766E-2</v>
      </c>
      <c r="J14" s="78">
        <f>C33/C3</f>
        <v>6.418911937614695E-2</v>
      </c>
      <c r="K14" s="78">
        <f>D33/D3</f>
        <v>0.12269375842390343</v>
      </c>
      <c r="L14" s="78">
        <f>E33/E3</f>
        <v>7.0079445414512914E-2</v>
      </c>
      <c r="M14" s="83">
        <f>F33/F3</f>
        <v>7.7325266769479137E-2</v>
      </c>
    </row>
    <row r="15" spans="1:13" s="43" customFormat="1" ht="15">
      <c r="A15" s="52" t="s">
        <v>55</v>
      </c>
      <c r="B15" s="60">
        <v>1073.2403591</v>
      </c>
      <c r="C15" s="61">
        <v>14179.686328199999</v>
      </c>
      <c r="D15" s="61">
        <v>28305.867537300001</v>
      </c>
      <c r="E15" s="61">
        <v>17900.891908000001</v>
      </c>
      <c r="F15" s="62">
        <v>21102.000779900001</v>
      </c>
      <c r="H15" s="41"/>
      <c r="I15" s="42"/>
    </row>
    <row r="16" spans="1:13" s="43" customFormat="1" ht="15">
      <c r="A16" s="52" t="s">
        <v>56</v>
      </c>
      <c r="B16" s="60">
        <v>841.75688000000002</v>
      </c>
      <c r="C16" s="61">
        <v>3613.3392899999999</v>
      </c>
      <c r="D16" s="61">
        <v>3831.2376599999998</v>
      </c>
      <c r="E16" s="61">
        <v>4384.1734200000001</v>
      </c>
      <c r="F16" s="62">
        <v>6483.4344199999996</v>
      </c>
      <c r="H16" s="41"/>
      <c r="I16" s="42"/>
    </row>
    <row r="17" spans="1:12">
      <c r="A17" s="53" t="s">
        <v>44</v>
      </c>
      <c r="B17" s="63">
        <v>424.44880999999998</v>
      </c>
      <c r="C17" s="23">
        <v>701.29774999999995</v>
      </c>
      <c r="D17" s="23">
        <v>1561.21774</v>
      </c>
      <c r="E17" s="23">
        <v>3018.9134199999999</v>
      </c>
      <c r="F17" s="64">
        <v>2813.79</v>
      </c>
      <c r="H17" s="44"/>
    </row>
    <row r="18" spans="1:12">
      <c r="A18" s="53" t="s">
        <v>84</v>
      </c>
      <c r="B18" s="63">
        <v>417</v>
      </c>
      <c r="C18" s="23">
        <v>2912</v>
      </c>
      <c r="D18" s="23">
        <v>2270</v>
      </c>
      <c r="E18" s="23">
        <v>1365</v>
      </c>
      <c r="F18" s="64">
        <v>3670</v>
      </c>
      <c r="J18" s="44"/>
      <c r="K18" s="44"/>
      <c r="L18" s="44"/>
    </row>
    <row r="19" spans="1:12" s="43" customFormat="1" ht="15">
      <c r="A19" s="52" t="s">
        <v>57</v>
      </c>
      <c r="B19" s="60">
        <v>7520.29889</v>
      </c>
      <c r="C19" s="61">
        <v>4380.0237399999996</v>
      </c>
      <c r="D19" s="61">
        <v>4331.0727299999999</v>
      </c>
      <c r="E19" s="61">
        <v>5906.5670600000003</v>
      </c>
      <c r="F19" s="62">
        <v>5968.0089699999999</v>
      </c>
      <c r="H19" s="41"/>
      <c r="I19" s="42"/>
    </row>
    <row r="20" spans="1:12">
      <c r="A20" s="53" t="s">
        <v>47</v>
      </c>
      <c r="B20" s="63">
        <v>5138.6252699999995</v>
      </c>
      <c r="C20" s="23">
        <v>3909.3368599999999</v>
      </c>
      <c r="D20" s="23">
        <v>4009.4999299999999</v>
      </c>
      <c r="E20" s="23">
        <v>5314.1470600000002</v>
      </c>
      <c r="F20" s="64">
        <v>5141.5889699999998</v>
      </c>
    </row>
    <row r="21" spans="1:12">
      <c r="A21" s="53" t="s">
        <v>59</v>
      </c>
      <c r="B21" s="63">
        <v>2381.67362</v>
      </c>
      <c r="C21" s="23">
        <v>470.68687999999997</v>
      </c>
      <c r="D21" s="23">
        <v>321.57279999999997</v>
      </c>
      <c r="E21" s="23">
        <v>592.41999999999996</v>
      </c>
      <c r="F21" s="64">
        <v>826.42</v>
      </c>
    </row>
    <row r="22" spans="1:12" s="43" customFormat="1" ht="15">
      <c r="A22" s="52" t="s">
        <v>60</v>
      </c>
      <c r="B22" s="60">
        <v>9062.0621499999997</v>
      </c>
      <c r="C22" s="61">
        <v>5769.7973300000003</v>
      </c>
      <c r="D22" s="61">
        <v>9694.3641700000007</v>
      </c>
      <c r="E22" s="61">
        <v>5720.2040999999999</v>
      </c>
      <c r="F22" s="62">
        <v>9151.9697500000002</v>
      </c>
      <c r="H22" s="44"/>
      <c r="I22" s="42"/>
    </row>
    <row r="23" spans="1:12" s="43" customFormat="1" ht="15">
      <c r="A23" s="52" t="s">
        <v>62</v>
      </c>
      <c r="B23" s="60">
        <v>12823</v>
      </c>
      <c r="C23" s="61">
        <v>10752</v>
      </c>
      <c r="D23" s="61">
        <v>11877</v>
      </c>
      <c r="E23" s="61">
        <v>6342</v>
      </c>
      <c r="F23" s="62">
        <v>12408</v>
      </c>
      <c r="G23" s="45"/>
      <c r="H23" s="23"/>
      <c r="I23" s="42"/>
      <c r="J23" s="45"/>
      <c r="K23" s="45"/>
    </row>
    <row r="24" spans="1:12">
      <c r="A24" s="53" t="s">
        <v>58</v>
      </c>
      <c r="B24" s="63">
        <v>5226.2391600000001</v>
      </c>
      <c r="C24" s="23">
        <v>7597.9531699999998</v>
      </c>
      <c r="D24" s="23">
        <v>9846.3097199999993</v>
      </c>
      <c r="E24" s="23">
        <v>5416.0387199999996</v>
      </c>
      <c r="F24" s="64">
        <v>11162.92015</v>
      </c>
      <c r="G24" s="23"/>
      <c r="H24" s="23"/>
      <c r="I24" s="24"/>
      <c r="J24" s="23"/>
      <c r="K24" s="23"/>
    </row>
    <row r="25" spans="1:12">
      <c r="A25" s="53" t="s">
        <v>63</v>
      </c>
      <c r="B25" s="63">
        <v>602.70912999999996</v>
      </c>
      <c r="C25" s="23">
        <v>89.125960000000006</v>
      </c>
      <c r="D25" s="23">
        <v>251.44136</v>
      </c>
      <c r="E25" s="23">
        <v>414.64</v>
      </c>
      <c r="F25" s="64">
        <v>356.5</v>
      </c>
      <c r="G25" s="23"/>
      <c r="I25" s="24"/>
      <c r="J25" s="23"/>
      <c r="K25" s="23"/>
    </row>
    <row r="26" spans="1:12">
      <c r="A26" s="53" t="s">
        <v>64</v>
      </c>
      <c r="B26" s="63">
        <v>6396.8636900000001</v>
      </c>
      <c r="C26" s="23">
        <v>2754.4154400000002</v>
      </c>
      <c r="D26" s="23">
        <v>165.65352999999999</v>
      </c>
      <c r="E26" s="23">
        <v>104.41</v>
      </c>
      <c r="F26" s="64">
        <v>0</v>
      </c>
      <c r="H26" s="44"/>
    </row>
    <row r="27" spans="1:12">
      <c r="A27" s="53" t="s">
        <v>61</v>
      </c>
      <c r="B27" s="63">
        <v>579</v>
      </c>
      <c r="C27" s="23">
        <v>310</v>
      </c>
      <c r="D27" s="23">
        <v>1619</v>
      </c>
      <c r="E27" s="23">
        <v>407</v>
      </c>
      <c r="F27" s="64">
        <v>888</v>
      </c>
      <c r="G27" s="44"/>
      <c r="J27" s="44"/>
      <c r="K27" s="44"/>
    </row>
    <row r="28" spans="1:12" s="43" customFormat="1" ht="15">
      <c r="A28" s="52" t="s">
        <v>65</v>
      </c>
      <c r="B28" s="63">
        <v>-8.5691220000000001</v>
      </c>
      <c r="C28" s="23">
        <v>-0.28885</v>
      </c>
      <c r="D28" s="23">
        <v>1.7213339000000001</v>
      </c>
      <c r="E28" s="23">
        <v>0</v>
      </c>
      <c r="F28" s="64">
        <v>0</v>
      </c>
      <c r="H28" s="41"/>
      <c r="I28" s="42"/>
    </row>
    <row r="29" spans="1:12" s="43" customFormat="1" ht="15">
      <c r="A29" s="54" t="s">
        <v>66</v>
      </c>
      <c r="B29" s="65">
        <v>-9356.9715718000007</v>
      </c>
      <c r="C29" s="55">
        <v>8431.1402183999999</v>
      </c>
      <c r="D29" s="55">
        <v>25621.349980300001</v>
      </c>
      <c r="E29" s="55">
        <v>15756.9036402</v>
      </c>
      <c r="F29" s="66">
        <v>18361.755829599999</v>
      </c>
      <c r="H29" s="41"/>
      <c r="I29" s="42"/>
    </row>
    <row r="30" spans="1:12" s="43" customFormat="1" ht="15">
      <c r="A30" s="56" t="s">
        <v>67</v>
      </c>
      <c r="B30" s="67">
        <v>-1122.4025890999999</v>
      </c>
      <c r="C30" s="57">
        <v>2643.3198861000001</v>
      </c>
      <c r="D30" s="57">
        <v>8326.3214556999992</v>
      </c>
      <c r="E30" s="57">
        <v>4465.8462826000004</v>
      </c>
      <c r="F30" s="68">
        <v>4543.1750789999996</v>
      </c>
      <c r="H30" s="41"/>
      <c r="I30" s="42"/>
    </row>
    <row r="31" spans="1:12" s="43" customFormat="1" ht="15">
      <c r="A31" s="56" t="s">
        <v>68</v>
      </c>
      <c r="B31" s="69">
        <v>-8234.5689827000006</v>
      </c>
      <c r="C31" s="58">
        <v>5787.8203322999998</v>
      </c>
      <c r="D31" s="58">
        <v>17295.028524599998</v>
      </c>
      <c r="E31" s="58">
        <v>11291.0573575</v>
      </c>
      <c r="F31" s="70">
        <v>13818.580750499999</v>
      </c>
      <c r="H31" s="41"/>
      <c r="I31" s="42"/>
    </row>
    <row r="32" spans="1:12" s="43" customFormat="1" ht="15">
      <c r="A32" s="52" t="s">
        <v>69</v>
      </c>
      <c r="B32" s="63">
        <v>5934.3826331</v>
      </c>
      <c r="C32" s="23">
        <v>0</v>
      </c>
      <c r="D32" s="23">
        <v>0</v>
      </c>
      <c r="E32" s="23">
        <v>0</v>
      </c>
      <c r="F32" s="64">
        <v>0</v>
      </c>
      <c r="H32" s="41"/>
      <c r="I32" s="42"/>
    </row>
    <row r="33" spans="1:9" s="43" customFormat="1" ht="15">
      <c r="A33" s="54" t="s">
        <v>70</v>
      </c>
      <c r="B33" s="65">
        <v>-2300.1863496999999</v>
      </c>
      <c r="C33" s="55">
        <v>5787.8203322999998</v>
      </c>
      <c r="D33" s="55">
        <v>17295.028524599998</v>
      </c>
      <c r="E33" s="55">
        <v>11291.0573575</v>
      </c>
      <c r="F33" s="66">
        <v>13818.580750499999</v>
      </c>
      <c r="H33" s="41"/>
      <c r="I33" s="42"/>
    </row>
    <row r="34" spans="1:9" s="43" customFormat="1" ht="15">
      <c r="A34" s="52" t="s">
        <v>71</v>
      </c>
      <c r="B34" s="63">
        <v>979.78749070000003</v>
      </c>
      <c r="C34" s="23">
        <v>722.26888499999995</v>
      </c>
      <c r="D34" s="23">
        <v>5561.4529916000001</v>
      </c>
      <c r="E34" s="23">
        <v>-2635.4125583</v>
      </c>
      <c r="F34" s="64">
        <v>-1025.2966584000001</v>
      </c>
      <c r="H34" s="41"/>
      <c r="I34" s="42"/>
    </row>
    <row r="35" spans="1:9" s="43" customFormat="1" ht="15">
      <c r="A35" s="52" t="s">
        <v>72</v>
      </c>
      <c r="B35" s="63">
        <v>-1320.3988589999999</v>
      </c>
      <c r="C35" s="23">
        <v>6510.0892173000002</v>
      </c>
      <c r="D35" s="23">
        <v>22856.481516200001</v>
      </c>
      <c r="E35" s="23">
        <v>8655.6447991000005</v>
      </c>
      <c r="F35" s="64">
        <v>12793.284092100001</v>
      </c>
      <c r="H35" s="41"/>
      <c r="I35" s="42"/>
    </row>
    <row r="36" spans="1:9" s="43" customFormat="1" ht="15">
      <c r="A36" s="52" t="s">
        <v>73</v>
      </c>
      <c r="B36" s="63">
        <v>-2115.4544513000001</v>
      </c>
      <c r="C36" s="23">
        <v>5776.8353999000001</v>
      </c>
      <c r="D36" s="23">
        <v>17283.631384799999</v>
      </c>
      <c r="E36" s="23">
        <v>10611.6528946</v>
      </c>
      <c r="F36" s="64">
        <v>13172.616889299999</v>
      </c>
      <c r="H36" s="41"/>
      <c r="I36" s="42"/>
    </row>
    <row r="37" spans="1:9" s="43" customFormat="1" ht="15">
      <c r="A37" s="52" t="s">
        <v>74</v>
      </c>
      <c r="B37" s="63">
        <v>-184.73189840000001</v>
      </c>
      <c r="C37" s="23">
        <v>10.984932300000001</v>
      </c>
      <c r="D37" s="23">
        <v>11.3971398</v>
      </c>
      <c r="E37" s="23">
        <v>679.4044629</v>
      </c>
      <c r="F37" s="64">
        <v>645.96386110000003</v>
      </c>
      <c r="H37" s="41"/>
      <c r="I37" s="42"/>
    </row>
    <row r="38" spans="1:9" s="43" customFormat="1" ht="15">
      <c r="A38" s="52" t="s">
        <v>75</v>
      </c>
      <c r="B38" s="63">
        <v>-1138.7154418</v>
      </c>
      <c r="C38" s="23">
        <v>6444.1737390999997</v>
      </c>
      <c r="D38" s="23">
        <v>22689.588241599999</v>
      </c>
      <c r="E38" s="23">
        <v>8145.2149265999997</v>
      </c>
      <c r="F38" s="64">
        <v>12239.373806199999</v>
      </c>
      <c r="H38" s="41"/>
      <c r="I38" s="42"/>
    </row>
    <row r="39" spans="1:9" s="43" customFormat="1" ht="15">
      <c r="A39" s="52" t="s">
        <v>76</v>
      </c>
      <c r="B39" s="63">
        <v>-181.68341720000001</v>
      </c>
      <c r="C39" s="23">
        <v>65.915478100000001</v>
      </c>
      <c r="D39" s="23">
        <v>166.89327449999999</v>
      </c>
      <c r="E39" s="23">
        <v>510.42987249999999</v>
      </c>
      <c r="F39" s="64">
        <v>553.91028589999996</v>
      </c>
      <c r="H39" s="41"/>
      <c r="I39" s="42"/>
    </row>
    <row r="40" spans="1:9" s="43" customFormat="1" ht="15">
      <c r="A40" s="52" t="s">
        <v>90</v>
      </c>
      <c r="B40" s="71">
        <v>-5366</v>
      </c>
      <c r="C40" s="72">
        <v>1743</v>
      </c>
      <c r="D40" s="72">
        <v>4787</v>
      </c>
      <c r="E40" s="72">
        <v>2866</v>
      </c>
      <c r="F40" s="73">
        <v>3566</v>
      </c>
      <c r="H40" s="41"/>
      <c r="I40" s="42"/>
    </row>
    <row r="41" spans="1:9" s="43" customFormat="1" ht="15">
      <c r="A41" s="52" t="s">
        <v>85</v>
      </c>
      <c r="B41" s="71">
        <v>-1675</v>
      </c>
      <c r="C41" s="72">
        <v>1743</v>
      </c>
      <c r="D41" s="72">
        <v>4787</v>
      </c>
      <c r="E41" s="72">
        <v>2866</v>
      </c>
      <c r="F41" s="73">
        <v>3566</v>
      </c>
      <c r="H41" s="41"/>
      <c r="I41" s="42"/>
    </row>
    <row r="42" spans="1:9" s="43" customFormat="1" ht="15">
      <c r="A42" s="52" t="s">
        <v>86</v>
      </c>
      <c r="B42" s="71">
        <v>0</v>
      </c>
      <c r="C42" s="72">
        <v>1662</v>
      </c>
      <c r="D42" s="72">
        <v>0</v>
      </c>
      <c r="E42" s="72">
        <v>0</v>
      </c>
      <c r="F42" s="73">
        <v>0</v>
      </c>
      <c r="H42" s="41"/>
      <c r="I42" s="42"/>
    </row>
    <row r="43" spans="1:9" s="43" customFormat="1" ht="15">
      <c r="A43" s="52" t="s">
        <v>87</v>
      </c>
      <c r="B43" s="71">
        <v>-1869</v>
      </c>
      <c r="C43" s="72">
        <v>1662</v>
      </c>
      <c r="D43" s="72">
        <v>0</v>
      </c>
      <c r="E43" s="72">
        <v>0</v>
      </c>
      <c r="F43" s="73">
        <v>0</v>
      </c>
      <c r="H43" s="41"/>
      <c r="I43" s="42"/>
    </row>
    <row r="44" spans="1:9" s="43" customFormat="1" ht="15">
      <c r="A44" s="52" t="s">
        <v>77</v>
      </c>
      <c r="B44" s="63">
        <v>75032.068799999994</v>
      </c>
      <c r="C44" s="23">
        <v>75988.560070000007</v>
      </c>
      <c r="D44" s="23">
        <v>112655.08065</v>
      </c>
      <c r="E44" s="23">
        <v>143217.07</v>
      </c>
      <c r="F44" s="64">
        <v>157605.18</v>
      </c>
      <c r="H44" s="41"/>
      <c r="I44" s="42"/>
    </row>
    <row r="45" spans="1:9">
      <c r="A45" s="53" t="s">
        <v>78</v>
      </c>
      <c r="B45" s="63">
        <v>0</v>
      </c>
      <c r="C45" s="23">
        <v>0</v>
      </c>
      <c r="D45" s="23">
        <v>0</v>
      </c>
      <c r="E45" s="23">
        <v>2575.9699999999998</v>
      </c>
      <c r="F45" s="64">
        <v>2867.27</v>
      </c>
    </row>
    <row r="46" spans="1:9">
      <c r="A46" s="53" t="s">
        <v>79</v>
      </c>
      <c r="B46" s="63">
        <v>19265.59936</v>
      </c>
      <c r="C46" s="23">
        <v>19537.533500000001</v>
      </c>
      <c r="D46" s="23">
        <v>24793.701130000001</v>
      </c>
      <c r="E46" s="23">
        <v>31570.35</v>
      </c>
      <c r="F46" s="64">
        <v>36079.24</v>
      </c>
    </row>
    <row r="47" spans="1:9">
      <c r="A47" s="53" t="s">
        <v>80</v>
      </c>
      <c r="B47" s="63">
        <v>19622.875400000001</v>
      </c>
      <c r="C47" s="23">
        <v>16953.645359999999</v>
      </c>
      <c r="D47" s="23">
        <v>16497.360840000001</v>
      </c>
      <c r="E47" s="23">
        <v>17228.96</v>
      </c>
      <c r="F47" s="64">
        <v>17960.3</v>
      </c>
    </row>
    <row r="48" spans="1:9">
      <c r="A48" s="53" t="s">
        <v>81</v>
      </c>
      <c r="B48" s="63">
        <v>902.41371000000004</v>
      </c>
      <c r="C48" s="23">
        <v>890.90896999999995</v>
      </c>
      <c r="D48" s="23">
        <v>982.14435000000003</v>
      </c>
      <c r="E48" s="23">
        <v>871.01</v>
      </c>
      <c r="F48" s="64">
        <v>1004.11</v>
      </c>
    </row>
    <row r="49" spans="1:6">
      <c r="A49" s="53" t="s">
        <v>82</v>
      </c>
      <c r="B49" s="63">
        <v>151.03547</v>
      </c>
      <c r="C49" s="23">
        <v>199.15319</v>
      </c>
      <c r="D49" s="23">
        <v>352.0831</v>
      </c>
      <c r="E49" s="23">
        <v>1748.58</v>
      </c>
      <c r="F49" s="64">
        <v>1404.73</v>
      </c>
    </row>
    <row r="50" spans="1:6">
      <c r="A50" s="74" t="s">
        <v>83</v>
      </c>
      <c r="B50" s="75">
        <v>35090.14486</v>
      </c>
      <c r="C50" s="76">
        <v>38407.319049999998</v>
      </c>
      <c r="D50" s="76">
        <v>70029.791230000003</v>
      </c>
      <c r="E50" s="76">
        <v>89222.2</v>
      </c>
      <c r="F50" s="77">
        <v>98289.53</v>
      </c>
    </row>
  </sheetData>
  <mergeCells count="1">
    <mergeCell ref="B1:F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13AD-CB67-47D8-82E7-6F73466CFF87}">
  <dimension ref="A1:M95"/>
  <sheetViews>
    <sheetView topLeftCell="A52" zoomScale="115" zoomScaleNormal="115" workbookViewId="0">
      <selection activeCell="B8" sqref="B8:F8"/>
    </sheetView>
  </sheetViews>
  <sheetFormatPr defaultRowHeight="12"/>
  <cols>
    <col min="1" max="1" width="39.25" style="47" bestFit="1" customWidth="1"/>
    <col min="2" max="7" width="9" style="47"/>
    <col min="8" max="8" width="17.875" style="47" bestFit="1" customWidth="1"/>
    <col min="9" max="16384" width="9" style="47"/>
  </cols>
  <sheetData>
    <row r="1" spans="1:13">
      <c r="A1" s="90" t="s">
        <v>175</v>
      </c>
      <c r="B1" s="129" t="s">
        <v>176</v>
      </c>
      <c r="C1" s="130"/>
      <c r="D1" s="130"/>
      <c r="E1" s="130"/>
      <c r="F1" s="131"/>
    </row>
    <row r="2" spans="1:13">
      <c r="A2" s="90" t="s">
        <v>177</v>
      </c>
      <c r="B2" s="49">
        <v>2020</v>
      </c>
      <c r="C2" s="49">
        <v>2021</v>
      </c>
      <c r="D2" s="49">
        <v>2022</v>
      </c>
      <c r="E2" s="49">
        <v>2023</v>
      </c>
      <c r="F2" s="48">
        <v>2024</v>
      </c>
      <c r="H2" s="117" t="s">
        <v>34</v>
      </c>
      <c r="I2" s="88">
        <v>2020</v>
      </c>
      <c r="J2" s="88">
        <v>2021</v>
      </c>
      <c r="K2" s="88">
        <v>2022</v>
      </c>
      <c r="L2" s="88">
        <v>2023</v>
      </c>
      <c r="M2" s="89">
        <v>2024</v>
      </c>
    </row>
    <row r="3" spans="1:13">
      <c r="A3" s="103" t="s">
        <v>178</v>
      </c>
      <c r="B3" s="104">
        <v>13767</v>
      </c>
      <c r="C3" s="104">
        <v>35142</v>
      </c>
      <c r="D3" s="104">
        <v>55724</v>
      </c>
      <c r="E3" s="104">
        <v>40925</v>
      </c>
      <c r="F3" s="105">
        <v>45589</v>
      </c>
      <c r="H3" s="84" t="s">
        <v>187</v>
      </c>
      <c r="I3" s="111">
        <f>B3/B3</f>
        <v>1</v>
      </c>
      <c r="J3" s="111">
        <f t="shared" ref="J3:M3" si="0">C3/C3</f>
        <v>1</v>
      </c>
      <c r="K3" s="111">
        <f t="shared" si="0"/>
        <v>1</v>
      </c>
      <c r="L3" s="111">
        <f t="shared" si="0"/>
        <v>1</v>
      </c>
      <c r="M3" s="112">
        <f t="shared" si="0"/>
        <v>1</v>
      </c>
    </row>
    <row r="4" spans="1:13">
      <c r="A4" s="91" t="s">
        <v>182</v>
      </c>
      <c r="B4" s="92">
        <v>-2300</v>
      </c>
      <c r="C4" s="92">
        <v>5788</v>
      </c>
      <c r="D4" s="92">
        <v>17295</v>
      </c>
      <c r="E4" s="92">
        <v>11291</v>
      </c>
      <c r="F4" s="93">
        <v>13819</v>
      </c>
      <c r="H4" s="84" t="s">
        <v>188</v>
      </c>
      <c r="I4" s="79">
        <f>B55/B3</f>
        <v>-1.9612115929396384E-3</v>
      </c>
      <c r="J4" s="79">
        <f t="shared" ref="J4:M4" si="1">C55/C3</f>
        <v>-0.69569176483979289</v>
      </c>
      <c r="K4" s="79">
        <f t="shared" si="1"/>
        <v>-0.53404278228411461</v>
      </c>
      <c r="L4" s="79">
        <f t="shared" si="1"/>
        <v>-0.58885766646304216</v>
      </c>
      <c r="M4" s="80">
        <f t="shared" si="1"/>
        <v>-0.19098905437715238</v>
      </c>
    </row>
    <row r="5" spans="1:13">
      <c r="A5" s="94" t="s">
        <v>92</v>
      </c>
      <c r="B5" s="95">
        <v>40603</v>
      </c>
      <c r="C5" s="95">
        <v>35606</v>
      </c>
      <c r="D5" s="95">
        <v>39372</v>
      </c>
      <c r="E5" s="95">
        <v>32574</v>
      </c>
      <c r="F5" s="96">
        <v>40460</v>
      </c>
      <c r="H5" s="84" t="s">
        <v>189</v>
      </c>
      <c r="I5" s="79">
        <f>B77/B3</f>
        <v>-0.62330209922277913</v>
      </c>
      <c r="J5" s="79">
        <f t="shared" ref="J5:M5" si="2">C77/C3</f>
        <v>-0.34465881281657273</v>
      </c>
      <c r="K5" s="79">
        <f t="shared" si="2"/>
        <v>-0.48417199052472903</v>
      </c>
      <c r="L5" s="79">
        <f t="shared" si="2"/>
        <v>-0.50951740989615146</v>
      </c>
      <c r="M5" s="80">
        <f t="shared" si="2"/>
        <v>-0.47434688192327096</v>
      </c>
    </row>
    <row r="6" spans="1:13">
      <c r="A6" s="94" t="s">
        <v>93</v>
      </c>
      <c r="B6" s="95">
        <v>1992</v>
      </c>
      <c r="C6" s="95">
        <v>1860</v>
      </c>
      <c r="D6" s="95">
        <v>2011</v>
      </c>
      <c r="E6" s="95">
        <v>2202</v>
      </c>
      <c r="F6" s="96">
        <v>2583</v>
      </c>
      <c r="H6" s="118" t="s">
        <v>181</v>
      </c>
      <c r="I6" s="79">
        <f>B4/B3</f>
        <v>-0.16706617273189511</v>
      </c>
      <c r="J6" s="79">
        <f t="shared" ref="J6:M6" si="3">C4/C3</f>
        <v>0.16470320414319048</v>
      </c>
      <c r="K6" s="79">
        <f t="shared" si="3"/>
        <v>0.31036896130931019</v>
      </c>
      <c r="L6" s="79">
        <f t="shared" si="3"/>
        <v>0.27589492974954183</v>
      </c>
      <c r="M6" s="80">
        <f t="shared" si="3"/>
        <v>0.30312136699642456</v>
      </c>
    </row>
    <row r="7" spans="1:13">
      <c r="A7" s="94" t="s">
        <v>94</v>
      </c>
      <c r="B7" s="47">
        <v>22</v>
      </c>
      <c r="C7" s="47">
        <v>-1</v>
      </c>
      <c r="D7" s="47">
        <v>3</v>
      </c>
      <c r="E7" s="47">
        <v>4</v>
      </c>
      <c r="F7" s="97">
        <v>4</v>
      </c>
      <c r="H7" s="84" t="s">
        <v>190</v>
      </c>
      <c r="I7" s="79">
        <f>B8/B3</f>
        <v>1.4077867363986345</v>
      </c>
      <c r="J7" s="79">
        <f t="shared" ref="J7:M7" si="4">C8/C3</f>
        <v>0.47322292413636102</v>
      </c>
      <c r="K7" s="79">
        <f t="shared" si="4"/>
        <v>0.28817026774818749</v>
      </c>
      <c r="L7" s="79">
        <f t="shared" si="4"/>
        <v>0.40706169822846672</v>
      </c>
      <c r="M7" s="80">
        <f t="shared" si="4"/>
        <v>0.3810568338853671</v>
      </c>
    </row>
    <row r="8" spans="1:13">
      <c r="A8" s="91" t="s">
        <v>183</v>
      </c>
      <c r="B8" s="92">
        <v>19381</v>
      </c>
      <c r="C8" s="92">
        <v>16630</v>
      </c>
      <c r="D8" s="92">
        <v>16058</v>
      </c>
      <c r="E8" s="92">
        <v>16659</v>
      </c>
      <c r="F8" s="93">
        <v>17372</v>
      </c>
      <c r="H8" s="84" t="s">
        <v>191</v>
      </c>
      <c r="I8" s="113">
        <f>B13/B3</f>
        <v>0.3732839398561778</v>
      </c>
      <c r="J8" s="113">
        <f t="shared" ref="J8:M8" si="5">C13/C3</f>
        <v>0.11123442035171589</v>
      </c>
      <c r="K8" s="113">
        <f t="shared" si="5"/>
        <v>7.1943866197688611E-2</v>
      </c>
      <c r="L8" s="113">
        <f t="shared" si="5"/>
        <v>0.12984728161270617</v>
      </c>
      <c r="M8" s="114">
        <f t="shared" si="5"/>
        <v>0.11279036609708483</v>
      </c>
    </row>
    <row r="9" spans="1:13">
      <c r="A9" s="94" t="s">
        <v>95</v>
      </c>
      <c r="B9" s="47">
        <v>311</v>
      </c>
      <c r="C9" s="47">
        <v>324</v>
      </c>
      <c r="D9" s="47">
        <v>440</v>
      </c>
      <c r="E9" s="47">
        <v>570</v>
      </c>
      <c r="F9" s="97">
        <v>588</v>
      </c>
      <c r="H9" s="84" t="s">
        <v>192</v>
      </c>
      <c r="I9" s="79">
        <f>B25/B3</f>
        <v>3.079828575579284E-2</v>
      </c>
      <c r="J9" s="79">
        <f t="shared" ref="J9:M9" si="6">C25/C3</f>
        <v>1.9947640999373968E-2</v>
      </c>
      <c r="K9" s="79">
        <f t="shared" si="6"/>
        <v>2.801306438877324E-2</v>
      </c>
      <c r="L9" s="79">
        <f t="shared" si="6"/>
        <v>7.3769089798411736E-2</v>
      </c>
      <c r="M9" s="80">
        <f t="shared" si="6"/>
        <v>6.1725416218824714E-2</v>
      </c>
    </row>
    <row r="10" spans="1:13">
      <c r="A10" s="94" t="s">
        <v>96</v>
      </c>
      <c r="B10" s="47">
        <v>188</v>
      </c>
      <c r="C10" s="47">
        <v>384</v>
      </c>
      <c r="D10" s="47">
        <v>206</v>
      </c>
      <c r="E10" s="47">
        <v>260</v>
      </c>
      <c r="F10" s="97">
        <v>140</v>
      </c>
      <c r="H10" s="84" t="s">
        <v>193</v>
      </c>
      <c r="I10" s="79">
        <f>B54/B3</f>
        <v>-3.6318733202585895E-3</v>
      </c>
      <c r="J10" s="79">
        <f t="shared" ref="J10:M10" si="7">C54/C3</f>
        <v>-4.1830288543623015E-3</v>
      </c>
      <c r="K10" s="79">
        <f t="shared" si="7"/>
        <v>-6.8318857224894128E-2</v>
      </c>
      <c r="L10" s="79">
        <f t="shared" si="7"/>
        <v>-0.23156994502138056</v>
      </c>
      <c r="M10" s="80">
        <f t="shared" si="7"/>
        <v>-8.1510890785057799E-2</v>
      </c>
    </row>
    <row r="11" spans="1:13">
      <c r="A11" s="94" t="s">
        <v>97</v>
      </c>
      <c r="B11" s="95">
        <v>2167</v>
      </c>
      <c r="C11" s="95">
        <v>6092</v>
      </c>
      <c r="D11" s="95">
        <v>5838</v>
      </c>
      <c r="E11" s="95">
        <v>1985</v>
      </c>
      <c r="F11" s="96">
        <v>8230</v>
      </c>
      <c r="H11" s="85" t="s">
        <v>194</v>
      </c>
      <c r="I11" s="115">
        <f>B3+B55+B77</f>
        <v>5159</v>
      </c>
      <c r="J11" s="115">
        <f t="shared" ref="J11:M11" si="8">C3+C55+C77</f>
        <v>-1418</v>
      </c>
      <c r="K11" s="115">
        <f t="shared" si="8"/>
        <v>-1015</v>
      </c>
      <c r="L11" s="115">
        <f t="shared" si="8"/>
        <v>-4026</v>
      </c>
      <c r="M11" s="116">
        <f t="shared" si="8"/>
        <v>15257</v>
      </c>
    </row>
    <row r="12" spans="1:13">
      <c r="A12" s="94" t="s">
        <v>98</v>
      </c>
      <c r="B12" s="47">
        <v>6</v>
      </c>
      <c r="C12" s="47">
        <v>79</v>
      </c>
      <c r="D12" s="47">
        <v>14</v>
      </c>
      <c r="E12" s="47">
        <v>9</v>
      </c>
      <c r="F12" s="97">
        <v>205</v>
      </c>
    </row>
    <row r="13" spans="1:13">
      <c r="A13" s="91" t="s">
        <v>185</v>
      </c>
      <c r="B13" s="92">
        <v>5139</v>
      </c>
      <c r="C13" s="92">
        <v>3909</v>
      </c>
      <c r="D13" s="92">
        <v>4009</v>
      </c>
      <c r="E13" s="92">
        <v>5314</v>
      </c>
      <c r="F13" s="93">
        <v>5142</v>
      </c>
    </row>
    <row r="14" spans="1:13">
      <c r="A14" s="94" t="s">
        <v>99</v>
      </c>
      <c r="B14" s="47">
        <v>0</v>
      </c>
      <c r="C14" s="47">
        <v>0</v>
      </c>
      <c r="D14" s="47">
        <v>0</v>
      </c>
      <c r="E14" s="47">
        <v>182</v>
      </c>
      <c r="F14" s="97">
        <v>0</v>
      </c>
    </row>
    <row r="15" spans="1:13">
      <c r="A15" s="94" t="s">
        <v>100</v>
      </c>
      <c r="B15" s="47">
        <v>0</v>
      </c>
      <c r="C15" s="47">
        <v>0</v>
      </c>
      <c r="D15" s="95">
        <v>1216</v>
      </c>
      <c r="E15" s="47">
        <v>0</v>
      </c>
      <c r="F15" s="97">
        <v>0</v>
      </c>
    </row>
    <row r="16" spans="1:13">
      <c r="A16" s="94" t="s">
        <v>101</v>
      </c>
      <c r="B16" s="95">
        <v>2382</v>
      </c>
      <c r="C16" s="47">
        <v>471</v>
      </c>
      <c r="D16" s="47">
        <v>322</v>
      </c>
      <c r="E16" s="47">
        <v>592</v>
      </c>
      <c r="F16" s="97">
        <v>826</v>
      </c>
    </row>
    <row r="17" spans="1:6">
      <c r="A17" s="94" t="s">
        <v>102</v>
      </c>
      <c r="B17" s="47">
        <v>650</v>
      </c>
      <c r="C17" s="47">
        <v>29</v>
      </c>
      <c r="D17" s="47">
        <v>242</v>
      </c>
      <c r="E17" s="47">
        <v>208</v>
      </c>
      <c r="F17" s="97">
        <v>356</v>
      </c>
    </row>
    <row r="18" spans="1:6">
      <c r="A18" s="94" t="s">
        <v>103</v>
      </c>
      <c r="B18" s="95">
        <v>6398</v>
      </c>
      <c r="C18" s="95">
        <v>2771</v>
      </c>
      <c r="D18" s="47">
        <v>210</v>
      </c>
      <c r="E18" s="47">
        <v>-15</v>
      </c>
      <c r="F18" s="97">
        <v>23</v>
      </c>
    </row>
    <row r="19" spans="1:6">
      <c r="A19" s="94" t="s">
        <v>104</v>
      </c>
      <c r="B19" s="47">
        <v>9</v>
      </c>
      <c r="C19" s="47">
        <v>0</v>
      </c>
      <c r="D19" s="47">
        <v>0</v>
      </c>
      <c r="E19" s="47">
        <v>0</v>
      </c>
      <c r="F19" s="97">
        <v>0</v>
      </c>
    </row>
    <row r="20" spans="1:6">
      <c r="A20" s="94" t="s">
        <v>105</v>
      </c>
      <c r="B20" s="95">
        <v>1109</v>
      </c>
      <c r="C20" s="95">
        <v>2643</v>
      </c>
      <c r="D20" s="95">
        <v>8326</v>
      </c>
      <c r="E20" s="95">
        <v>4466</v>
      </c>
      <c r="F20" s="96">
        <v>4543</v>
      </c>
    </row>
    <row r="21" spans="1:6">
      <c r="A21" s="94" t="s">
        <v>106</v>
      </c>
      <c r="B21" s="47">
        <v>851</v>
      </c>
      <c r="C21" s="47">
        <v>416</v>
      </c>
      <c r="D21" s="47">
        <v>476</v>
      </c>
      <c r="E21" s="47">
        <v>137</v>
      </c>
      <c r="F21" s="97">
        <v>448</v>
      </c>
    </row>
    <row r="22" spans="1:6">
      <c r="A22" s="94" t="s">
        <v>107</v>
      </c>
      <c r="B22" s="95">
        <v>15607</v>
      </c>
      <c r="C22" s="95">
        <v>7303</v>
      </c>
      <c r="D22" s="95">
        <v>8628</v>
      </c>
      <c r="E22" s="95">
        <v>6053</v>
      </c>
      <c r="F22" s="96">
        <v>12564</v>
      </c>
    </row>
    <row r="23" spans="1:6">
      <c r="A23" s="94" t="s">
        <v>108</v>
      </c>
      <c r="B23" s="95">
        <v>6102</v>
      </c>
      <c r="C23" s="95">
        <v>1829</v>
      </c>
      <c r="D23" s="95">
        <v>2740</v>
      </c>
      <c r="E23" s="95">
        <v>1096</v>
      </c>
      <c r="F23" s="96">
        <v>3673</v>
      </c>
    </row>
    <row r="24" spans="1:6">
      <c r="A24" s="94" t="s">
        <v>109</v>
      </c>
      <c r="B24" s="47">
        <v>2</v>
      </c>
      <c r="C24" s="95">
        <v>0</v>
      </c>
      <c r="D24" s="95">
        <v>0</v>
      </c>
      <c r="E24" s="95">
        <v>0</v>
      </c>
      <c r="F24" s="96">
        <v>0</v>
      </c>
    </row>
    <row r="25" spans="1:6">
      <c r="A25" s="91" t="s">
        <v>184</v>
      </c>
      <c r="B25" s="98">
        <v>424</v>
      </c>
      <c r="C25" s="98">
        <v>701</v>
      </c>
      <c r="D25" s="92">
        <v>1561</v>
      </c>
      <c r="E25" s="92">
        <v>3019</v>
      </c>
      <c r="F25" s="93">
        <v>2814</v>
      </c>
    </row>
    <row r="26" spans="1:6">
      <c r="A26" s="94" t="s">
        <v>110</v>
      </c>
      <c r="B26" s="47">
        <v>45</v>
      </c>
      <c r="C26" s="47">
        <v>56</v>
      </c>
      <c r="D26" s="47">
        <v>62</v>
      </c>
      <c r="E26" s="47">
        <v>52</v>
      </c>
      <c r="F26" s="97">
        <v>66</v>
      </c>
    </row>
    <row r="27" spans="1:6">
      <c r="A27" s="94" t="s">
        <v>111</v>
      </c>
      <c r="B27" s="47">
        <v>0</v>
      </c>
      <c r="C27" s="47">
        <v>0</v>
      </c>
      <c r="D27" s="47">
        <v>0</v>
      </c>
      <c r="E27" s="47">
        <v>0</v>
      </c>
      <c r="F27" s="97">
        <v>107</v>
      </c>
    </row>
    <row r="28" spans="1:6">
      <c r="A28" s="94" t="s">
        <v>112</v>
      </c>
      <c r="B28" s="47">
        <v>2</v>
      </c>
      <c r="C28" s="95">
        <v>1430</v>
      </c>
      <c r="D28" s="47">
        <v>5</v>
      </c>
      <c r="E28" s="47">
        <v>56</v>
      </c>
      <c r="F28" s="97">
        <v>9</v>
      </c>
    </row>
    <row r="29" spans="1:6">
      <c r="A29" s="94" t="s">
        <v>113</v>
      </c>
      <c r="B29" s="47">
        <v>373</v>
      </c>
      <c r="C29" s="95">
        <v>2856</v>
      </c>
      <c r="D29" s="95">
        <v>2208</v>
      </c>
      <c r="E29" s="95">
        <v>1313</v>
      </c>
      <c r="F29" s="96">
        <v>3603</v>
      </c>
    </row>
    <row r="30" spans="1:6">
      <c r="A30" s="94" t="s">
        <v>114</v>
      </c>
      <c r="B30" s="47">
        <v>393</v>
      </c>
      <c r="C30" s="47">
        <v>359</v>
      </c>
      <c r="D30" s="95">
        <v>1827</v>
      </c>
      <c r="E30" s="47">
        <v>73</v>
      </c>
      <c r="F30" s="96">
        <v>1459</v>
      </c>
    </row>
    <row r="31" spans="1:6">
      <c r="A31" s="94" t="s">
        <v>115</v>
      </c>
      <c r="B31" s="47">
        <v>0</v>
      </c>
      <c r="C31" s="47">
        <v>0</v>
      </c>
      <c r="D31" s="47">
        <v>168</v>
      </c>
      <c r="E31" s="47">
        <v>0</v>
      </c>
      <c r="F31" s="97">
        <v>0</v>
      </c>
    </row>
    <row r="32" spans="1:6">
      <c r="A32" s="94" t="s">
        <v>116</v>
      </c>
      <c r="B32" s="47">
        <v>0</v>
      </c>
      <c r="C32" s="47">
        <v>0</v>
      </c>
      <c r="D32" s="47">
        <v>0</v>
      </c>
      <c r="E32" s="47">
        <v>1</v>
      </c>
      <c r="F32" s="97">
        <v>0</v>
      </c>
    </row>
    <row r="33" spans="1:6">
      <c r="A33" s="94" t="s">
        <v>117</v>
      </c>
      <c r="B33" s="47">
        <v>0</v>
      </c>
      <c r="C33" s="47">
        <v>0</v>
      </c>
      <c r="D33" s="47">
        <v>2</v>
      </c>
      <c r="E33" s="47">
        <v>0</v>
      </c>
      <c r="F33" s="97">
        <v>0</v>
      </c>
    </row>
    <row r="34" spans="1:6">
      <c r="A34" s="94" t="s">
        <v>118</v>
      </c>
      <c r="B34" s="95">
        <v>8266</v>
      </c>
      <c r="C34" s="47">
        <v>71</v>
      </c>
      <c r="D34" s="47">
        <v>53</v>
      </c>
      <c r="E34" s="47">
        <v>443</v>
      </c>
      <c r="F34" s="97">
        <v>834</v>
      </c>
    </row>
    <row r="35" spans="1:6">
      <c r="A35" s="94" t="s">
        <v>119</v>
      </c>
      <c r="B35" s="95">
        <v>-9402</v>
      </c>
      <c r="C35" s="47">
        <v>478</v>
      </c>
      <c r="D35" s="95">
        <v>10188</v>
      </c>
      <c r="E35" s="95">
        <v>9691</v>
      </c>
      <c r="F35" s="96">
        <v>4115</v>
      </c>
    </row>
    <row r="36" spans="1:6">
      <c r="A36" s="94" t="s">
        <v>120</v>
      </c>
      <c r="B36" s="95">
        <v>1796</v>
      </c>
      <c r="C36" s="95">
        <v>-3024</v>
      </c>
      <c r="D36" s="47">
        <v>-703</v>
      </c>
      <c r="E36" s="95">
        <v>-2882</v>
      </c>
      <c r="F36" s="96">
        <v>-3234</v>
      </c>
    </row>
    <row r="37" spans="1:6">
      <c r="A37" s="94" t="s">
        <v>121</v>
      </c>
      <c r="B37" s="47">
        <v>399</v>
      </c>
      <c r="C37" s="95">
        <v>-2828</v>
      </c>
      <c r="D37" s="47">
        <v>-183</v>
      </c>
      <c r="E37" s="47">
        <v>368</v>
      </c>
      <c r="F37" s="97">
        <v>-261</v>
      </c>
    </row>
    <row r="38" spans="1:6">
      <c r="A38" s="94" t="s">
        <v>122</v>
      </c>
      <c r="B38" s="47">
        <v>-173</v>
      </c>
      <c r="C38" s="47">
        <v>146</v>
      </c>
      <c r="D38" s="47">
        <v>455</v>
      </c>
      <c r="E38" s="47">
        <v>-208</v>
      </c>
      <c r="F38" s="97">
        <v>-281</v>
      </c>
    </row>
    <row r="39" spans="1:6">
      <c r="A39" s="94" t="s">
        <v>123</v>
      </c>
      <c r="B39" s="47">
        <v>794</v>
      </c>
      <c r="C39" s="47">
        <v>125</v>
      </c>
      <c r="D39" s="47">
        <v>645</v>
      </c>
      <c r="E39" s="47">
        <v>-661</v>
      </c>
      <c r="F39" s="96">
        <v>-1129</v>
      </c>
    </row>
    <row r="40" spans="1:6">
      <c r="A40" s="94" t="s">
        <v>124</v>
      </c>
      <c r="B40" s="47">
        <v>787</v>
      </c>
      <c r="C40" s="47">
        <v>-377</v>
      </c>
      <c r="D40" s="95">
        <v>-1243</v>
      </c>
      <c r="E40" s="95">
        <v>-1176</v>
      </c>
      <c r="F40" s="97">
        <v>-993</v>
      </c>
    </row>
    <row r="41" spans="1:6">
      <c r="A41" s="94" t="s">
        <v>125</v>
      </c>
      <c r="B41" s="47">
        <v>-11</v>
      </c>
      <c r="C41" s="47">
        <v>-90</v>
      </c>
      <c r="D41" s="47">
        <v>-377</v>
      </c>
      <c r="E41" s="95">
        <v>-1206</v>
      </c>
      <c r="F41" s="97">
        <v>-570</v>
      </c>
    </row>
    <row r="42" spans="1:6">
      <c r="A42" s="94" t="s">
        <v>126</v>
      </c>
      <c r="B42" s="95">
        <v>-12137</v>
      </c>
      <c r="C42" s="95">
        <v>1614</v>
      </c>
      <c r="D42" s="95">
        <v>9534</v>
      </c>
      <c r="E42" s="95">
        <v>11549</v>
      </c>
      <c r="F42" s="96">
        <v>5443</v>
      </c>
    </row>
    <row r="43" spans="1:6">
      <c r="A43" s="94" t="s">
        <v>127</v>
      </c>
      <c r="B43" s="95">
        <v>-1109</v>
      </c>
      <c r="C43" s="47">
        <v>522</v>
      </c>
      <c r="D43" s="95">
        <v>1194</v>
      </c>
      <c r="E43" s="47">
        <v>-175</v>
      </c>
      <c r="F43" s="97">
        <v>-647</v>
      </c>
    </row>
    <row r="44" spans="1:6">
      <c r="A44" s="94" t="s">
        <v>128</v>
      </c>
      <c r="B44" s="47">
        <v>490</v>
      </c>
      <c r="C44" s="47">
        <v>-236</v>
      </c>
      <c r="D44" s="47">
        <v>280</v>
      </c>
      <c r="E44" s="47">
        <v>620</v>
      </c>
      <c r="F44" s="97">
        <v>694</v>
      </c>
    </row>
    <row r="45" spans="1:6">
      <c r="A45" s="94" t="s">
        <v>129</v>
      </c>
      <c r="B45" s="47">
        <v>-480</v>
      </c>
      <c r="C45" s="47">
        <v>405</v>
      </c>
      <c r="D45" s="47">
        <v>968</v>
      </c>
      <c r="E45" s="95">
        <v>4629</v>
      </c>
      <c r="F45" s="96">
        <v>5098</v>
      </c>
    </row>
    <row r="46" spans="1:6">
      <c r="A46" s="94" t="s">
        <v>130</v>
      </c>
      <c r="B46" s="47">
        <v>-64</v>
      </c>
      <c r="C46" s="47">
        <v>-655</v>
      </c>
      <c r="D46" s="47">
        <v>-37</v>
      </c>
      <c r="E46" s="47">
        <v>-375</v>
      </c>
      <c r="F46" s="97">
        <v>10</v>
      </c>
    </row>
    <row r="47" spans="1:6">
      <c r="A47" s="94" t="s">
        <v>131</v>
      </c>
      <c r="B47" s="47">
        <v>-853</v>
      </c>
      <c r="C47" s="47">
        <v>-800</v>
      </c>
      <c r="D47" s="95">
        <v>-1279</v>
      </c>
      <c r="E47" s="95">
        <v>-1948</v>
      </c>
      <c r="F47" s="96">
        <v>-2238</v>
      </c>
    </row>
    <row r="48" spans="1:6">
      <c r="A48" s="94" t="s">
        <v>132</v>
      </c>
      <c r="B48" s="95">
        <v>-10121</v>
      </c>
      <c r="C48" s="95">
        <v>2378</v>
      </c>
      <c r="D48" s="95">
        <v>8409</v>
      </c>
      <c r="E48" s="95">
        <v>8798</v>
      </c>
      <c r="F48" s="96">
        <v>2526</v>
      </c>
    </row>
    <row r="49" spans="1:6">
      <c r="A49" s="94" t="s">
        <v>133</v>
      </c>
      <c r="B49" s="95">
        <v>1617</v>
      </c>
      <c r="C49" s="95">
        <v>1214</v>
      </c>
      <c r="D49" s="47">
        <v>-294</v>
      </c>
      <c r="E49" s="47">
        <v>-768</v>
      </c>
      <c r="F49" s="96">
        <v>1036</v>
      </c>
    </row>
    <row r="50" spans="1:6">
      <c r="A50" s="94" t="s">
        <v>134</v>
      </c>
      <c r="B50" s="47">
        <v>-678</v>
      </c>
      <c r="C50" s="47">
        <v>673</v>
      </c>
      <c r="D50" s="95">
        <v>1650</v>
      </c>
      <c r="E50" s="95">
        <v>1792</v>
      </c>
      <c r="F50" s="97">
        <v>871</v>
      </c>
    </row>
    <row r="51" spans="1:6">
      <c r="A51" s="94" t="s">
        <v>135</v>
      </c>
      <c r="B51" s="95">
        <v>13294</v>
      </c>
      <c r="C51" s="95">
        <v>34568</v>
      </c>
      <c r="D51" s="95">
        <v>58227</v>
      </c>
      <c r="E51" s="95">
        <v>47502</v>
      </c>
      <c r="F51" s="96">
        <v>45830</v>
      </c>
    </row>
    <row r="52" spans="1:6">
      <c r="A52" s="94" t="s">
        <v>136</v>
      </c>
      <c r="B52" s="47">
        <v>478</v>
      </c>
      <c r="C52" s="47">
        <v>664</v>
      </c>
      <c r="D52" s="95">
        <v>1242</v>
      </c>
      <c r="E52" s="95">
        <v>2847</v>
      </c>
      <c r="F52" s="96">
        <v>3409</v>
      </c>
    </row>
    <row r="53" spans="1:6">
      <c r="A53" s="94" t="s">
        <v>137</v>
      </c>
      <c r="B53" s="47">
        <v>45</v>
      </c>
      <c r="C53" s="47">
        <v>56</v>
      </c>
      <c r="D53" s="47">
        <v>62</v>
      </c>
      <c r="E53" s="47">
        <v>52</v>
      </c>
      <c r="F53" s="97">
        <v>66</v>
      </c>
    </row>
    <row r="54" spans="1:6">
      <c r="A54" s="106" t="s">
        <v>186</v>
      </c>
      <c r="B54" s="107">
        <v>-50</v>
      </c>
      <c r="C54" s="107">
        <v>-147</v>
      </c>
      <c r="D54" s="108">
        <v>-3807</v>
      </c>
      <c r="E54" s="108">
        <v>-9477</v>
      </c>
      <c r="F54" s="109">
        <v>-3716</v>
      </c>
    </row>
    <row r="55" spans="1:6">
      <c r="A55" s="91" t="s">
        <v>179</v>
      </c>
      <c r="B55" s="98">
        <v>-27</v>
      </c>
      <c r="C55" s="92">
        <v>-24448</v>
      </c>
      <c r="D55" s="92">
        <v>-29759</v>
      </c>
      <c r="E55" s="92">
        <v>-24099</v>
      </c>
      <c r="F55" s="93">
        <v>-8707</v>
      </c>
    </row>
    <row r="56" spans="1:6">
      <c r="A56" s="94" t="s">
        <v>138</v>
      </c>
      <c r="B56" s="95">
        <v>22654</v>
      </c>
      <c r="C56" s="95">
        <v>16213</v>
      </c>
      <c r="D56" s="95">
        <v>10714</v>
      </c>
      <c r="E56" s="95">
        <v>8076</v>
      </c>
      <c r="F56" s="96">
        <v>27161</v>
      </c>
    </row>
    <row r="57" spans="1:6">
      <c r="A57" s="94" t="s">
        <v>139</v>
      </c>
      <c r="B57" s="95">
        <v>2359</v>
      </c>
      <c r="C57" s="47">
        <v>112</v>
      </c>
      <c r="D57" s="47">
        <v>93</v>
      </c>
      <c r="E57" s="95">
        <v>3253</v>
      </c>
      <c r="F57" s="96">
        <v>17313</v>
      </c>
    </row>
    <row r="58" spans="1:6">
      <c r="A58" s="94" t="s">
        <v>140</v>
      </c>
      <c r="B58" s="47">
        <v>0</v>
      </c>
      <c r="C58" s="47">
        <v>17</v>
      </c>
      <c r="D58" s="47">
        <v>0</v>
      </c>
      <c r="E58" s="95">
        <v>0</v>
      </c>
      <c r="F58" s="96">
        <v>0</v>
      </c>
    </row>
    <row r="59" spans="1:6">
      <c r="A59" s="94" t="s">
        <v>141</v>
      </c>
      <c r="B59" s="47">
        <v>0</v>
      </c>
      <c r="C59" s="47">
        <v>0</v>
      </c>
      <c r="D59" s="47">
        <v>1</v>
      </c>
      <c r="E59" s="47">
        <v>1</v>
      </c>
      <c r="F59" s="97">
        <v>1</v>
      </c>
    </row>
    <row r="60" spans="1:6">
      <c r="A60" s="94" t="s">
        <v>142</v>
      </c>
      <c r="B60" s="95">
        <v>8554</v>
      </c>
      <c r="C60" s="95">
        <v>8882</v>
      </c>
      <c r="D60" s="95">
        <v>8627</v>
      </c>
      <c r="E60" s="95">
        <v>4436</v>
      </c>
      <c r="F60" s="96">
        <v>5207</v>
      </c>
    </row>
    <row r="61" spans="1:6">
      <c r="A61" s="94" t="s">
        <v>143</v>
      </c>
      <c r="B61" s="47">
        <v>397</v>
      </c>
      <c r="C61" s="47">
        <v>389</v>
      </c>
      <c r="D61" s="47">
        <v>365</v>
      </c>
      <c r="E61" s="47">
        <v>74</v>
      </c>
      <c r="F61" s="97">
        <v>164</v>
      </c>
    </row>
    <row r="62" spans="1:6">
      <c r="A62" s="94" t="s">
        <v>144</v>
      </c>
      <c r="B62" s="47">
        <v>397</v>
      </c>
      <c r="C62" s="47">
        <v>389</v>
      </c>
      <c r="D62" s="47">
        <v>365</v>
      </c>
      <c r="E62" s="47">
        <v>74</v>
      </c>
      <c r="F62" s="97">
        <v>164</v>
      </c>
    </row>
    <row r="63" spans="1:6">
      <c r="A63" s="94" t="s">
        <v>145</v>
      </c>
      <c r="B63" s="47">
        <v>9</v>
      </c>
      <c r="C63" s="47">
        <v>1</v>
      </c>
      <c r="D63" s="47">
        <v>7</v>
      </c>
      <c r="E63" s="47">
        <v>3</v>
      </c>
      <c r="F63" s="97">
        <v>0</v>
      </c>
    </row>
    <row r="64" spans="1:6">
      <c r="A64" s="94" t="s">
        <v>146</v>
      </c>
      <c r="B64" s="47">
        <v>9</v>
      </c>
      <c r="C64" s="47">
        <v>1</v>
      </c>
      <c r="D64" s="47">
        <v>7</v>
      </c>
      <c r="E64" s="47">
        <v>3</v>
      </c>
      <c r="F64" s="97">
        <v>0</v>
      </c>
    </row>
    <row r="65" spans="1:6">
      <c r="A65" s="94" t="s">
        <v>147</v>
      </c>
      <c r="B65" s="95">
        <v>11335</v>
      </c>
      <c r="C65" s="95">
        <v>6812</v>
      </c>
      <c r="D65" s="95">
        <v>1620</v>
      </c>
      <c r="E65" s="47">
        <v>309</v>
      </c>
      <c r="F65" s="96">
        <v>4476</v>
      </c>
    </row>
    <row r="66" spans="1:6">
      <c r="A66" s="94" t="s">
        <v>148</v>
      </c>
      <c r="B66" s="95">
        <v>22681</v>
      </c>
      <c r="C66" s="95">
        <v>40662</v>
      </c>
      <c r="D66" s="95">
        <v>40473</v>
      </c>
      <c r="E66" s="95">
        <v>32176</v>
      </c>
      <c r="F66" s="96">
        <v>35867</v>
      </c>
    </row>
    <row r="67" spans="1:6">
      <c r="A67" s="94" t="s">
        <v>149</v>
      </c>
      <c r="B67" s="95">
        <v>3020</v>
      </c>
      <c r="C67" s="95">
        <v>24134</v>
      </c>
      <c r="D67" s="95">
        <v>19801</v>
      </c>
      <c r="E67" s="95">
        <v>8577</v>
      </c>
      <c r="F67" s="96">
        <v>2340</v>
      </c>
    </row>
    <row r="68" spans="1:6">
      <c r="A68" s="94" t="s">
        <v>150</v>
      </c>
      <c r="B68" s="47">
        <v>0</v>
      </c>
      <c r="C68" s="47">
        <v>0</v>
      </c>
      <c r="D68" s="47">
        <v>0</v>
      </c>
      <c r="E68" s="47">
        <v>0</v>
      </c>
      <c r="F68" s="97">
        <v>1</v>
      </c>
    </row>
    <row r="69" spans="1:6">
      <c r="A69" s="94" t="s">
        <v>142</v>
      </c>
      <c r="B69" s="95">
        <v>9133</v>
      </c>
      <c r="C69" s="95">
        <v>8480</v>
      </c>
      <c r="D69" s="95">
        <v>7333</v>
      </c>
      <c r="E69" s="95">
        <v>3315</v>
      </c>
      <c r="F69" s="96">
        <v>3799</v>
      </c>
    </row>
    <row r="70" spans="1:6">
      <c r="A70" s="94" t="s">
        <v>151</v>
      </c>
      <c r="B70" s="47">
        <v>963</v>
      </c>
      <c r="C70" s="47">
        <v>0</v>
      </c>
      <c r="D70" s="47">
        <v>238</v>
      </c>
      <c r="E70" s="47">
        <v>28</v>
      </c>
      <c r="F70" s="97">
        <v>0</v>
      </c>
    </row>
    <row r="71" spans="1:6">
      <c r="A71" s="94" t="s">
        <v>152</v>
      </c>
      <c r="B71" s="47">
        <v>963</v>
      </c>
      <c r="C71" s="47">
        <v>0</v>
      </c>
      <c r="D71" s="47">
        <v>238</v>
      </c>
      <c r="E71" s="47">
        <v>28</v>
      </c>
      <c r="F71" s="97">
        <v>0</v>
      </c>
    </row>
    <row r="72" spans="1:6">
      <c r="A72" s="94" t="s">
        <v>153</v>
      </c>
      <c r="B72" s="95">
        <v>6110</v>
      </c>
      <c r="C72" s="95">
        <v>3430</v>
      </c>
      <c r="D72" s="95">
        <v>7618</v>
      </c>
      <c r="E72" s="95">
        <v>19085</v>
      </c>
      <c r="F72" s="96">
        <v>28941</v>
      </c>
    </row>
    <row r="73" spans="1:6">
      <c r="A73" s="94" t="s">
        <v>154</v>
      </c>
      <c r="B73" s="95">
        <v>6110</v>
      </c>
      <c r="C73" s="95">
        <v>3430</v>
      </c>
      <c r="D73" s="95">
        <v>7618</v>
      </c>
      <c r="E73" s="95">
        <v>19085</v>
      </c>
      <c r="F73" s="96">
        <v>28941</v>
      </c>
    </row>
    <row r="74" spans="1:6">
      <c r="A74" s="94" t="s">
        <v>155</v>
      </c>
      <c r="B74" s="47">
        <v>62</v>
      </c>
      <c r="C74" s="47">
        <v>52</v>
      </c>
      <c r="D74" s="47">
        <v>23</v>
      </c>
      <c r="E74" s="47">
        <v>87</v>
      </c>
      <c r="F74" s="97">
        <v>122</v>
      </c>
    </row>
    <row r="75" spans="1:6">
      <c r="A75" s="94" t="s">
        <v>156</v>
      </c>
      <c r="B75" s="47">
        <v>62</v>
      </c>
      <c r="C75" s="47">
        <v>52</v>
      </c>
      <c r="D75" s="47">
        <v>23</v>
      </c>
      <c r="E75" s="47">
        <v>87</v>
      </c>
      <c r="F75" s="97">
        <v>122</v>
      </c>
    </row>
    <row r="76" spans="1:6">
      <c r="A76" s="99" t="s">
        <v>157</v>
      </c>
      <c r="B76" s="101">
        <v>3304</v>
      </c>
      <c r="C76" s="101">
        <v>4437</v>
      </c>
      <c r="D76" s="101">
        <v>5460</v>
      </c>
      <c r="E76" s="100">
        <v>276</v>
      </c>
      <c r="F76" s="110">
        <v>563</v>
      </c>
    </row>
    <row r="77" spans="1:6">
      <c r="A77" s="91" t="s">
        <v>180</v>
      </c>
      <c r="B77" s="92">
        <v>-8581</v>
      </c>
      <c r="C77" s="92">
        <v>-12112</v>
      </c>
      <c r="D77" s="92">
        <v>-26980</v>
      </c>
      <c r="E77" s="92">
        <v>-20852</v>
      </c>
      <c r="F77" s="93">
        <v>-21625</v>
      </c>
    </row>
    <row r="78" spans="1:6">
      <c r="A78" s="94" t="s">
        <v>158</v>
      </c>
      <c r="B78" s="95">
        <v>47009</v>
      </c>
      <c r="C78" s="95">
        <v>38674</v>
      </c>
      <c r="D78" s="95">
        <v>27538</v>
      </c>
      <c r="E78" s="95">
        <v>15580</v>
      </c>
      <c r="F78" s="96">
        <v>22544</v>
      </c>
    </row>
    <row r="79" spans="1:6">
      <c r="A79" s="94" t="s">
        <v>159</v>
      </c>
      <c r="B79" s="95">
        <v>1594</v>
      </c>
      <c r="C79" s="95">
        <v>10164</v>
      </c>
      <c r="D79" s="95">
        <v>15129</v>
      </c>
      <c r="E79" s="95">
        <v>7675</v>
      </c>
      <c r="F79" s="96">
        <v>9874</v>
      </c>
    </row>
    <row r="80" spans="1:6">
      <c r="A80" s="94" t="s">
        <v>160</v>
      </c>
      <c r="B80" s="95">
        <v>1594</v>
      </c>
      <c r="C80" s="95">
        <v>10164</v>
      </c>
      <c r="D80" s="95">
        <v>15129</v>
      </c>
      <c r="E80" s="95">
        <v>7675</v>
      </c>
      <c r="F80" s="96">
        <v>9874</v>
      </c>
    </row>
    <row r="81" spans="1:6">
      <c r="A81" s="94" t="s">
        <v>161</v>
      </c>
      <c r="B81" s="95">
        <v>18596</v>
      </c>
      <c r="C81" s="95">
        <v>2974</v>
      </c>
      <c r="D81" s="95">
        <v>11834</v>
      </c>
      <c r="E81" s="95">
        <v>7905</v>
      </c>
      <c r="F81" s="96">
        <v>12653</v>
      </c>
    </row>
    <row r="82" spans="1:6">
      <c r="A82" s="94" t="s">
        <v>162</v>
      </c>
      <c r="B82" s="95">
        <v>10299</v>
      </c>
      <c r="C82" s="95">
        <v>0</v>
      </c>
      <c r="D82" s="95">
        <v>0</v>
      </c>
      <c r="E82" s="95">
        <v>1072</v>
      </c>
      <c r="F82" s="97">
        <v>372</v>
      </c>
    </row>
    <row r="83" spans="1:6">
      <c r="A83" s="94" t="s">
        <v>163</v>
      </c>
      <c r="B83" s="95">
        <v>8297</v>
      </c>
      <c r="C83" s="95">
        <v>2974</v>
      </c>
      <c r="D83" s="95">
        <v>11834</v>
      </c>
      <c r="E83" s="95">
        <v>6832</v>
      </c>
      <c r="F83" s="96">
        <v>12281</v>
      </c>
    </row>
    <row r="84" spans="1:6">
      <c r="A84" s="94" t="s">
        <v>164</v>
      </c>
      <c r="B84" s="95">
        <v>12627</v>
      </c>
      <c r="C84" s="47">
        <v>0</v>
      </c>
      <c r="D84" s="47">
        <v>0</v>
      </c>
      <c r="E84" s="47">
        <v>0</v>
      </c>
      <c r="F84" s="97">
        <v>0</v>
      </c>
    </row>
    <row r="85" spans="1:6">
      <c r="A85" s="94" t="s">
        <v>165</v>
      </c>
      <c r="B85" s="95">
        <v>11193</v>
      </c>
      <c r="C85" s="95">
        <v>25536</v>
      </c>
      <c r="D85" s="47">
        <v>0</v>
      </c>
      <c r="E85" s="47">
        <v>0</v>
      </c>
      <c r="F85" s="97">
        <v>0</v>
      </c>
    </row>
    <row r="86" spans="1:6">
      <c r="A86" s="94" t="s">
        <v>166</v>
      </c>
      <c r="B86" s="95">
        <v>3000</v>
      </c>
      <c r="C86" s="47">
        <v>0</v>
      </c>
      <c r="D86" s="47">
        <v>575</v>
      </c>
      <c r="E86" s="47">
        <v>0</v>
      </c>
      <c r="F86" s="97">
        <v>17</v>
      </c>
    </row>
    <row r="87" spans="1:6">
      <c r="A87" s="94" t="s">
        <v>167</v>
      </c>
      <c r="B87" s="95">
        <v>3000</v>
      </c>
      <c r="C87" s="47">
        <v>0</v>
      </c>
      <c r="D87" s="47">
        <v>575</v>
      </c>
      <c r="E87" s="47">
        <v>0</v>
      </c>
      <c r="F87" s="97">
        <v>17</v>
      </c>
    </row>
    <row r="88" spans="1:6">
      <c r="A88" s="94" t="s">
        <v>168</v>
      </c>
      <c r="B88" s="95">
        <v>49573</v>
      </c>
      <c r="C88" s="95">
        <v>46495</v>
      </c>
      <c r="D88" s="95">
        <v>50495</v>
      </c>
      <c r="E88" s="95">
        <v>28188</v>
      </c>
      <c r="F88" s="96">
        <v>35934</v>
      </c>
    </row>
    <row r="89" spans="1:6">
      <c r="A89" s="94" t="s">
        <v>169</v>
      </c>
      <c r="B89" s="47">
        <v>0</v>
      </c>
      <c r="C89" s="95">
        <v>2156</v>
      </c>
      <c r="D89" s="95">
        <v>2206</v>
      </c>
      <c r="E89" s="47">
        <v>0</v>
      </c>
      <c r="F89" s="97">
        <v>0</v>
      </c>
    </row>
    <row r="90" spans="1:6">
      <c r="A90" s="94" t="s">
        <v>170</v>
      </c>
      <c r="B90" s="47">
        <v>0</v>
      </c>
      <c r="C90" s="95">
        <v>2156</v>
      </c>
      <c r="D90" s="95">
        <v>2206</v>
      </c>
      <c r="E90" s="47">
        <v>0</v>
      </c>
      <c r="F90" s="97">
        <v>0</v>
      </c>
    </row>
    <row r="91" spans="1:6">
      <c r="A91" s="94" t="s">
        <v>171</v>
      </c>
      <c r="B91" s="95">
        <v>42593</v>
      </c>
      <c r="C91" s="95">
        <v>40434</v>
      </c>
      <c r="D91" s="95">
        <v>47531</v>
      </c>
      <c r="E91" s="95">
        <v>27594</v>
      </c>
      <c r="F91" s="96">
        <v>35934</v>
      </c>
    </row>
    <row r="92" spans="1:6">
      <c r="A92" s="94" t="s">
        <v>172</v>
      </c>
      <c r="B92" s="95">
        <v>6980</v>
      </c>
      <c r="C92" s="95">
        <v>3905</v>
      </c>
      <c r="D92" s="47">
        <v>757</v>
      </c>
      <c r="E92" s="47">
        <v>593</v>
      </c>
      <c r="F92" s="97">
        <v>0</v>
      </c>
    </row>
    <row r="93" spans="1:6">
      <c r="A93" s="94" t="s">
        <v>167</v>
      </c>
      <c r="B93" s="95">
        <v>6980</v>
      </c>
      <c r="C93" s="95">
        <v>3905</v>
      </c>
      <c r="D93" s="47">
        <v>757</v>
      </c>
      <c r="E93" s="47">
        <v>593</v>
      </c>
      <c r="F93" s="97">
        <v>0</v>
      </c>
    </row>
    <row r="94" spans="1:6">
      <c r="A94" s="94" t="s">
        <v>173</v>
      </c>
      <c r="B94" s="95">
        <v>-5408</v>
      </c>
      <c r="C94" s="95">
        <v>-4110</v>
      </c>
      <c r="D94" s="95">
        <v>-3978</v>
      </c>
      <c r="E94" s="95">
        <v>-5424</v>
      </c>
      <c r="F94" s="96">
        <v>-5453</v>
      </c>
    </row>
    <row r="95" spans="1:6">
      <c r="A95" s="99" t="s">
        <v>174</v>
      </c>
      <c r="B95" s="100">
        <v>-610</v>
      </c>
      <c r="C95" s="100">
        <v>-182</v>
      </c>
      <c r="D95" s="100">
        <v>-46</v>
      </c>
      <c r="E95" s="101">
        <v>-2821</v>
      </c>
      <c r="F95" s="102">
        <v>-2782</v>
      </c>
    </row>
  </sheetData>
  <mergeCells count="1">
    <mergeCell ref="B1:F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6400-C0F7-48B8-AED5-12736FD00743}">
  <dimension ref="A1:U112"/>
  <sheetViews>
    <sheetView tabSelected="1" workbookViewId="0">
      <selection activeCell="G9" sqref="G9"/>
    </sheetView>
  </sheetViews>
  <sheetFormatPr defaultRowHeight="14.25"/>
  <cols>
    <col min="1" max="1" width="13.125" style="41" bestFit="1" customWidth="1"/>
    <col min="2" max="2" width="20.125" style="41" bestFit="1" customWidth="1"/>
    <col min="3" max="3" width="13" style="41" bestFit="1" customWidth="1"/>
    <col min="4" max="4" width="13" style="41" customWidth="1"/>
    <col min="5" max="6" width="12.375" style="41" bestFit="1" customWidth="1"/>
    <col min="7" max="7" width="14.125" style="41" bestFit="1" customWidth="1"/>
    <col min="8" max="8" width="8.375" style="41" bestFit="1" customWidth="1"/>
    <col min="9" max="9" width="9.125" style="41" bestFit="1" customWidth="1"/>
    <col min="10" max="10" width="12.875" style="41" bestFit="1" customWidth="1"/>
    <col min="11" max="11" width="12" style="41" bestFit="1" customWidth="1"/>
    <col min="12" max="12" width="13.5" style="41" bestFit="1" customWidth="1"/>
    <col min="13" max="14" width="11.625" style="41" bestFit="1" customWidth="1"/>
    <col min="15" max="21" width="9.125" style="41" bestFit="1" customWidth="1"/>
    <col min="22" max="16384" width="9" style="41"/>
  </cols>
  <sheetData>
    <row r="1" spans="1:21" ht="16.5">
      <c r="A1" s="43" t="s">
        <v>241</v>
      </c>
      <c r="B1" s="43"/>
      <c r="C1" s="43">
        <v>2020</v>
      </c>
      <c r="D1" s="43">
        <v>2021</v>
      </c>
      <c r="E1" s="43">
        <v>2022</v>
      </c>
      <c r="F1" s="43">
        <v>2023</v>
      </c>
      <c r="G1" s="43">
        <v>2024</v>
      </c>
    </row>
    <row r="2" spans="1:21" ht="16.5">
      <c r="A2" s="43" t="s">
        <v>242</v>
      </c>
      <c r="B2" s="43" t="s">
        <v>243</v>
      </c>
      <c r="C2" s="135">
        <f>손익계산서!B$33/손익계산서!B$3</f>
        <v>-3.0223730446749766E-2</v>
      </c>
      <c r="D2" s="135">
        <f>손익계산서!C$33/손익계산서!C$3</f>
        <v>6.418911937614695E-2</v>
      </c>
      <c r="E2" s="135">
        <f>손익계산서!D$33/손익계산서!D$3</f>
        <v>0.12269375842390343</v>
      </c>
      <c r="F2" s="135">
        <f>손익계산서!E$33/손익계산서!E$3</f>
        <v>7.0079445414512914E-2</v>
      </c>
      <c r="G2" s="135">
        <f>손익계산서!F$33/손익계산서!F$3</f>
        <v>7.7325266769479137E-2</v>
      </c>
      <c r="H2" s="135"/>
    </row>
    <row r="3" spans="1:21" ht="15">
      <c r="A3" s="43"/>
      <c r="B3" s="43" t="s">
        <v>213</v>
      </c>
      <c r="C3" s="135">
        <f>손익계산서!B$33/재무상태표!B$3</f>
        <v>-9.1313250210757792E-3</v>
      </c>
      <c r="D3" s="135">
        <f>손익계산서!C$33/재무상태표!C$3</f>
        <v>2.1700065017214856E-2</v>
      </c>
      <c r="E3" s="135">
        <f>손익계산서!D$33/재무상태표!D$3</f>
        <v>5.9642757579962312E-2</v>
      </c>
      <c r="F3" s="135">
        <f>손익계산서!E$33/재무상태표!E$3</f>
        <v>3.7151686517051606E-2</v>
      </c>
      <c r="G3" s="135">
        <f>손익계산서!F$33/재무상태표!F$3</f>
        <v>2.9393689628770404E-2</v>
      </c>
      <c r="H3" s="135"/>
    </row>
    <row r="4" spans="1:21" ht="15">
      <c r="A4" s="43"/>
      <c r="B4" s="43" t="s">
        <v>214</v>
      </c>
      <c r="C4" s="135">
        <f>손익계산서!B$33/재무상태표!B$33</f>
        <v>-6.9455856535691515E-2</v>
      </c>
      <c r="D4" s="135">
        <f>손익계산서!C$33/재무상태표!C$33</f>
        <v>8.4300646318540284E-2</v>
      </c>
      <c r="E4" s="135">
        <f>손익계산서!D$33/재무상태표!D$33</f>
        <v>0.1861189409442581</v>
      </c>
      <c r="F4" s="135">
        <f>손익계산서!E$33/재무상태표!E$33</f>
        <v>0.11503635052397937</v>
      </c>
      <c r="G4" s="135">
        <f>손익계산서!F$33/재무상태표!F$33</f>
        <v>0.12604523315769606</v>
      </c>
      <c r="H4" s="135"/>
    </row>
    <row r="5" spans="1:21" ht="16.5">
      <c r="A5" s="43"/>
      <c r="B5" s="43" t="s">
        <v>244</v>
      </c>
      <c r="C5" s="135">
        <f>(손익계산서!B$29+손익계산서!B$10)/손익계산서!B$3</f>
        <v>-0.11172770868878415</v>
      </c>
      <c r="D5" s="135">
        <f>(손익계산서!C$29+손익계산서!C$10)/손익계산서!C$3</f>
        <v>0.10183662724635721</v>
      </c>
      <c r="E5" s="135">
        <f>(손익계산서!D$29+손익계산서!D$10)/손익계산서!D$3</f>
        <v>0.18816778228736575</v>
      </c>
      <c r="F5" s="135">
        <f>(손익계산서!E$29+손익계산서!E$10)/손익계산서!E$3</f>
        <v>0.10397440192168253</v>
      </c>
      <c r="G5" s="135">
        <f>(손익계산서!F$29+손익계산서!F$10)/손익계산서!F$3</f>
        <v>0.10767779613406404</v>
      </c>
      <c r="H5" s="135"/>
    </row>
    <row r="6" spans="1:21" ht="16.5">
      <c r="A6" s="43" t="s">
        <v>245</v>
      </c>
      <c r="B6" s="43" t="s">
        <v>246</v>
      </c>
      <c r="C6" s="135">
        <f>손익계산서!B$3/재무상태표!B$3</f>
        <v>0.30212435348323302</v>
      </c>
      <c r="D6" s="135">
        <f>손익계산서!C$3/재무상태표!C$3</f>
        <v>0.33806453847813223</v>
      </c>
      <c r="E6" s="135">
        <f>손익계산서!D$3/재무상태표!D$3</f>
        <v>0.48611077161641991</v>
      </c>
      <c r="F6" s="135">
        <f>손익계산서!E$3/재무상태표!E$3</f>
        <v>0.53013670837865634</v>
      </c>
      <c r="G6" s="135">
        <f>손익계산서!F$3/재무상태표!F$3</f>
        <v>0.38013046519966631</v>
      </c>
      <c r="H6" s="135"/>
    </row>
    <row r="7" spans="1:21" ht="16.5">
      <c r="A7" s="43"/>
      <c r="B7" s="43" t="s">
        <v>247</v>
      </c>
      <c r="C7" s="135">
        <f>손익계산서!B$3/(재무상태표!B$4-재무상태표!B$18)</f>
        <v>-1.9096718796492744</v>
      </c>
      <c r="D7" s="135">
        <f>손익계산서!C$3/(재무상태표!C$4-재무상태표!C$18)</f>
        <v>-4.9984332823494997</v>
      </c>
      <c r="E7" s="135">
        <f>손익계산서!D$3/(재무상태표!D$4-재무상태표!D$18)</f>
        <v>-36.685014945250863</v>
      </c>
      <c r="F7" s="135">
        <f>손익계산서!E$3/(재무상태표!E$4-재무상태표!E$18)</f>
        <v>-19.776483998543164</v>
      </c>
      <c r="G7" s="135">
        <f>손익계산서!F$3/(재무상태표!F$4-재무상태표!F$18)</f>
        <v>-3.3361975272381019</v>
      </c>
      <c r="H7" s="135"/>
      <c r="I7" s="41" t="s">
        <v>248</v>
      </c>
      <c r="J7" s="41">
        <v>1</v>
      </c>
      <c r="K7" s="41">
        <v>2</v>
      </c>
      <c r="L7" s="41">
        <v>3</v>
      </c>
      <c r="M7" s="41">
        <v>4</v>
      </c>
      <c r="N7" s="41">
        <v>5</v>
      </c>
      <c r="O7" s="41">
        <v>6</v>
      </c>
      <c r="P7" s="41">
        <v>7</v>
      </c>
      <c r="Q7" s="41">
        <v>8</v>
      </c>
      <c r="R7" s="41">
        <v>9</v>
      </c>
      <c r="S7" s="41">
        <v>10</v>
      </c>
      <c r="T7" s="41">
        <v>11</v>
      </c>
      <c r="U7" s="41">
        <v>12</v>
      </c>
    </row>
    <row r="8" spans="1:21" ht="16.5">
      <c r="A8" s="43"/>
      <c r="B8" s="43" t="s">
        <v>249</v>
      </c>
      <c r="C8" s="135">
        <f>손익계산서!B$6/재무상태표!B$8</f>
        <v>12.427724377485049</v>
      </c>
      <c r="D8" s="135">
        <f>손익계산서!C$6/재무상태표!C$8</f>
        <v>11.57673421792169</v>
      </c>
      <c r="E8" s="135">
        <f>손익계산서!D$6/재무상태표!D$8</f>
        <v>14.033417690559213</v>
      </c>
      <c r="F8" s="135">
        <f>손익계산서!E$6/재무상태표!E$8</f>
        <v>15.054590336713529</v>
      </c>
      <c r="G8" s="135">
        <f>손익계산서!F$6/재무상태표!F$8</f>
        <v>12.05487248758762</v>
      </c>
      <c r="H8" s="135"/>
      <c r="I8" s="41">
        <v>2020</v>
      </c>
      <c r="J8" s="41">
        <v>15164</v>
      </c>
      <c r="K8" s="41">
        <v>14299</v>
      </c>
      <c r="L8" s="41">
        <v>11990</v>
      </c>
      <c r="M8" s="41">
        <v>12696</v>
      </c>
      <c r="N8" s="41">
        <v>13273</v>
      </c>
      <c r="O8" s="41">
        <v>13453</v>
      </c>
      <c r="P8" s="41">
        <v>13492</v>
      </c>
      <c r="Q8" s="41">
        <v>13686</v>
      </c>
      <c r="R8" s="41">
        <v>14616</v>
      </c>
      <c r="S8" s="41">
        <v>15469</v>
      </c>
      <c r="T8" s="41">
        <v>19773</v>
      </c>
      <c r="U8" s="41">
        <v>21091</v>
      </c>
    </row>
    <row r="9" spans="1:21" ht="16.5">
      <c r="A9" s="43"/>
      <c r="B9" s="43" t="s">
        <v>250</v>
      </c>
      <c r="C9" s="135">
        <f>365/C8</f>
        <v>29.369817748876056</v>
      </c>
      <c r="D9" s="135">
        <f t="shared" ref="D9:G9" si="0">365/D8</f>
        <v>31.528753543892496</v>
      </c>
      <c r="E9" s="135">
        <f t="shared" si="0"/>
        <v>26.009344840177363</v>
      </c>
      <c r="F9" s="135">
        <f t="shared" si="0"/>
        <v>24.245096800135233</v>
      </c>
      <c r="G9" s="135">
        <f t="shared" si="0"/>
        <v>30.278213259893434</v>
      </c>
      <c r="H9" s="135"/>
      <c r="I9" s="41">
        <v>2021</v>
      </c>
      <c r="J9" s="41">
        <v>28700</v>
      </c>
      <c r="K9" s="41">
        <v>28150</v>
      </c>
      <c r="L9" s="41">
        <v>27200</v>
      </c>
      <c r="M9" s="41">
        <v>26900</v>
      </c>
      <c r="N9" s="41">
        <v>31950</v>
      </c>
      <c r="O9" s="41">
        <v>31500</v>
      </c>
      <c r="P9" s="41">
        <v>29900</v>
      </c>
      <c r="Q9" s="41">
        <v>31300</v>
      </c>
      <c r="R9" s="41">
        <v>33700</v>
      </c>
      <c r="S9" s="41">
        <v>30450</v>
      </c>
      <c r="T9" s="41">
        <v>26500</v>
      </c>
      <c r="U9" s="41">
        <v>29350</v>
      </c>
    </row>
    <row r="10" spans="1:21" ht="16.5">
      <c r="A10" s="43"/>
      <c r="B10" s="43" t="s">
        <v>251</v>
      </c>
      <c r="C10" s="135">
        <f>손익계산서!B$3/재무상태표!B$7</f>
        <v>9.4444306545768786</v>
      </c>
      <c r="D10" s="135">
        <f>손익계산서!C$3/재무상태표!C$7</f>
        <v>7.9992201630295812</v>
      </c>
      <c r="E10" s="135">
        <f>손익계산서!D$3/재무상태표!D$7</f>
        <v>12.336847133467213</v>
      </c>
      <c r="F10" s="135">
        <f>손익계산서!E$3/재무상태표!E$7</f>
        <v>14.160524386163411</v>
      </c>
      <c r="G10" s="135">
        <f>손익계산서!F$3/재무상태표!F$7</f>
        <v>11.241865965898489</v>
      </c>
      <c r="H10" s="135"/>
      <c r="I10" s="41">
        <v>2022</v>
      </c>
      <c r="J10" s="41">
        <v>28300</v>
      </c>
      <c r="K10" s="41">
        <v>29300</v>
      </c>
      <c r="L10" s="41">
        <v>30200</v>
      </c>
      <c r="M10" s="41">
        <v>30150</v>
      </c>
      <c r="N10" s="41">
        <v>29050</v>
      </c>
      <c r="O10" s="41">
        <v>25200</v>
      </c>
      <c r="P10" s="41">
        <v>25300</v>
      </c>
      <c r="Q10" s="41">
        <v>26850</v>
      </c>
      <c r="R10" s="41">
        <v>22100</v>
      </c>
      <c r="S10" s="41">
        <v>23100</v>
      </c>
      <c r="T10" s="41">
        <v>25450</v>
      </c>
      <c r="U10" s="41">
        <v>22950</v>
      </c>
    </row>
    <row r="11" spans="1:21" ht="16.5">
      <c r="A11" s="43"/>
      <c r="B11" s="43" t="s">
        <v>252</v>
      </c>
      <c r="C11" s="135">
        <f>365/C10</f>
        <v>38.647115252322472</v>
      </c>
      <c r="D11" s="135">
        <f t="shared" ref="D11:G11" si="1">365/D10</f>
        <v>45.629447941305557</v>
      </c>
      <c r="E11" s="135">
        <f t="shared" si="1"/>
        <v>29.586165415783867</v>
      </c>
      <c r="F11" s="135">
        <f t="shared" si="1"/>
        <v>25.775881602001284</v>
      </c>
      <c r="G11" s="135">
        <f t="shared" si="1"/>
        <v>32.46791957022127</v>
      </c>
      <c r="H11" s="135"/>
      <c r="I11" s="41">
        <v>2023</v>
      </c>
      <c r="J11" s="41">
        <v>24250</v>
      </c>
      <c r="K11" s="41">
        <v>22750</v>
      </c>
      <c r="L11" s="41">
        <v>23200</v>
      </c>
      <c r="M11" s="41">
        <v>22850</v>
      </c>
      <c r="N11" s="41">
        <v>22100</v>
      </c>
      <c r="O11" s="41">
        <v>24350</v>
      </c>
      <c r="P11" s="41">
        <v>24600</v>
      </c>
      <c r="Q11" s="41">
        <v>22800</v>
      </c>
      <c r="R11" s="41">
        <v>21750</v>
      </c>
      <c r="S11" s="41">
        <v>20500</v>
      </c>
      <c r="T11" s="41">
        <v>22450</v>
      </c>
      <c r="U11" s="41">
        <v>23900</v>
      </c>
    </row>
    <row r="12" spans="1:21" ht="16.5">
      <c r="A12" s="43" t="s">
        <v>253</v>
      </c>
      <c r="B12" s="43" t="s">
        <v>217</v>
      </c>
      <c r="C12" s="135">
        <f>J$29/((손익계산서!B$33*100000000)/J$30)</f>
        <v>-11.297594450152967</v>
      </c>
      <c r="D12" s="135">
        <f>K$29/((손익계산서!C$33*100000000)/K$30)</f>
        <v>17.808241886810787</v>
      </c>
      <c r="E12" s="135">
        <f>L$29/((손익계산서!D$33*100000000)/L$30)</f>
        <v>5.6411085126969915</v>
      </c>
      <c r="F12" s="135">
        <f>M$29/((손익계산서!E$33*100000000)/M$30)</f>
        <v>7.4871045357350914</v>
      </c>
      <c r="G12" s="135">
        <f>N$29/((손익계산서!F$33*100000000)/N$30)</f>
        <v>6.007738278401308</v>
      </c>
      <c r="H12" s="135"/>
      <c r="I12" s="41">
        <v>2024</v>
      </c>
      <c r="J12" s="41">
        <v>22500</v>
      </c>
      <c r="K12" s="41">
        <v>23000</v>
      </c>
      <c r="L12" s="41">
        <v>21700</v>
      </c>
      <c r="M12" s="41">
        <v>20950</v>
      </c>
      <c r="N12" s="41">
        <v>20850</v>
      </c>
      <c r="O12" s="41">
        <v>23250</v>
      </c>
      <c r="P12" s="41">
        <v>21250</v>
      </c>
      <c r="Q12" s="41">
        <v>22050</v>
      </c>
      <c r="R12" s="41">
        <v>22550</v>
      </c>
      <c r="S12" s="41">
        <v>23900</v>
      </c>
      <c r="T12" s="41">
        <v>25950</v>
      </c>
      <c r="U12" s="41">
        <v>22600</v>
      </c>
    </row>
    <row r="13" spans="1:21" ht="15">
      <c r="A13" s="43"/>
      <c r="B13" s="43" t="s">
        <v>218</v>
      </c>
      <c r="C13" s="135">
        <f>J$29/((손익계산서!B$3*100000000)/J$30)</f>
        <v>0.34145544935811944</v>
      </c>
      <c r="D13" s="135">
        <f>K$29/((손익계산서!C$3*100000000)/K$30)</f>
        <v>1.143095364351798</v>
      </c>
      <c r="E13" s="135">
        <f>L$29/((손익계산서!D$3*100000000)/L$30)</f>
        <v>0.69212880509986985</v>
      </c>
      <c r="F13" s="135">
        <f>M$29/((손익계산서!E$3*100000000)/M$30)</f>
        <v>0.52469213362479938</v>
      </c>
      <c r="G13" s="135">
        <f>N$29/((손익계산서!F$3*100000000)/N$30)</f>
        <v>0.46454996505859253</v>
      </c>
      <c r="H13" s="135"/>
    </row>
    <row r="14" spans="1:21" ht="16.5">
      <c r="A14" s="43"/>
      <c r="B14" s="43" t="s">
        <v>219</v>
      </c>
      <c r="C14" s="135">
        <f>J$29/((재무상태표!B$34*100000000)/J$30)</f>
        <v>0.81043406229236037</v>
      </c>
      <c r="D14" s="135">
        <f>K$29/((재무상태표!C$34*100000000)/K$30)</f>
        <v>1.5260937718256842</v>
      </c>
      <c r="E14" s="135">
        <f>L$29/((재무상태표!D$34*100000000)/L$30)</f>
        <v>1.0847349836159337</v>
      </c>
      <c r="F14" s="135">
        <f>M$29/((재무상태표!E$34*100000000)/M$30)</f>
        <v>0.88743790522231814</v>
      </c>
      <c r="G14" s="135">
        <f>N$29/((재무상태표!F$34*100000000)/N$30)</f>
        <v>0.79269884106316102</v>
      </c>
      <c r="H14" s="135"/>
      <c r="I14" s="41" t="s">
        <v>254</v>
      </c>
      <c r="J14" s="41">
        <v>1</v>
      </c>
      <c r="K14" s="41">
        <v>2</v>
      </c>
      <c r="L14" s="41">
        <v>3</v>
      </c>
      <c r="M14" s="41">
        <v>4</v>
      </c>
      <c r="N14" s="41">
        <v>5</v>
      </c>
      <c r="O14" s="41">
        <v>6</v>
      </c>
      <c r="P14" s="41">
        <v>7</v>
      </c>
      <c r="Q14" s="41">
        <v>8</v>
      </c>
      <c r="R14" s="41">
        <v>9</v>
      </c>
      <c r="S14" s="41">
        <v>10</v>
      </c>
      <c r="T14" s="41">
        <v>11</v>
      </c>
      <c r="U14" s="41">
        <v>12</v>
      </c>
    </row>
    <row r="15" spans="1:21" ht="15">
      <c r="A15" s="43"/>
      <c r="B15" s="43" t="s">
        <v>220</v>
      </c>
      <c r="C15" s="135">
        <f>(J$31+재무상태표!B$17)/재무상태표!B$3</f>
        <v>0.97169253149690715</v>
      </c>
      <c r="D15" s="135">
        <f>(K$31+재무상태표!C$17)/재무상태표!C$3</f>
        <v>1.1290272114529354</v>
      </c>
      <c r="E15" s="135">
        <f>(L$31+재무상태표!D$17)/재무상태표!D$3</f>
        <v>1.0159962010973296</v>
      </c>
      <c r="F15" s="135">
        <f>(M$31+재무상태표!E$17)/재무상태표!E$3</f>
        <v>0.95520250067507018</v>
      </c>
      <c r="G15" s="135">
        <f>(N$31+재무상태표!F$17)/재무상태표!F$3</f>
        <v>0.9433900603779839</v>
      </c>
      <c r="H15" s="135"/>
      <c r="I15" s="41">
        <v>2020</v>
      </c>
      <c r="J15" s="136"/>
      <c r="K15" s="136">
        <f>(K8-J8)/J8</f>
        <v>-5.7042996570825642E-2</v>
      </c>
      <c r="L15" s="136">
        <f t="shared" ref="L15:U15" si="2">(L8-K8)/K8</f>
        <v>-0.16147982376389958</v>
      </c>
      <c r="M15" s="136">
        <f t="shared" si="2"/>
        <v>5.8882402001668055E-2</v>
      </c>
      <c r="N15" s="136">
        <f t="shared" si="2"/>
        <v>4.5447385003150598E-2</v>
      </c>
      <c r="O15" s="136">
        <f t="shared" si="2"/>
        <v>1.3561365177427861E-2</v>
      </c>
      <c r="P15" s="136">
        <f t="shared" si="2"/>
        <v>2.8989816397829481E-3</v>
      </c>
      <c r="Q15" s="136">
        <f t="shared" si="2"/>
        <v>1.4378891194782093E-2</v>
      </c>
      <c r="R15" s="136">
        <f t="shared" si="2"/>
        <v>6.7952652345462522E-2</v>
      </c>
      <c r="S15" s="136">
        <f t="shared" si="2"/>
        <v>5.8360700602079915E-2</v>
      </c>
      <c r="T15" s="136">
        <f t="shared" si="2"/>
        <v>0.27823388712909691</v>
      </c>
      <c r="U15" s="136">
        <f t="shared" si="2"/>
        <v>6.665655186365245E-2</v>
      </c>
    </row>
    <row r="16" spans="1:21" ht="15">
      <c r="A16" s="43"/>
      <c r="B16" s="43" t="s">
        <v>221</v>
      </c>
      <c r="C16" s="135">
        <f>(J$31+재무상태표!B$17-재무상태표!B$5)/(손익계산서!B$29+손익계산서!B$10)</f>
        <v>-27.240071285397764</v>
      </c>
      <c r="D16" s="135">
        <f>(K$31+재무상태표!C$17-재무상태표!C$5)/(손익계산서!C$29+손익계산서!C$10)</f>
        <v>31.503566097650523</v>
      </c>
      <c r="E16" s="135">
        <f>(L$31+재무상태표!D$17-재무상태표!D$5)/(손익계산서!D$29+손익계산서!D$10)</f>
        <v>10.708913669104689</v>
      </c>
      <c r="F16" s="135">
        <f>(M$31+재무상태표!E$17-재무상태표!E$5)/(손익계산서!E$29+손익계산서!E$10)</f>
        <v>16.957539104015936</v>
      </c>
      <c r="G16" s="135">
        <f>(N$31+재무상태표!F$17-재무상태표!F$5)/(손익계산서!F$29+손익계산서!F$10)</f>
        <v>21.896553669135766</v>
      </c>
      <c r="H16" s="135"/>
      <c r="I16" s="41">
        <v>2021</v>
      </c>
      <c r="J16" s="136">
        <f>(J9-U8)/U8</f>
        <v>0.36076999668104881</v>
      </c>
      <c r="K16" s="136">
        <f>(K9-J9)/J9</f>
        <v>-1.9163763066202089E-2</v>
      </c>
      <c r="L16" s="136">
        <f t="shared" ref="L16:U17" si="3">(L9-K9)/K9</f>
        <v>-3.3747779751332148E-2</v>
      </c>
      <c r="M16" s="136">
        <f t="shared" si="3"/>
        <v>-1.1029411764705883E-2</v>
      </c>
      <c r="N16" s="136">
        <f t="shared" si="3"/>
        <v>0.18773234200743494</v>
      </c>
      <c r="O16" s="136">
        <f t="shared" si="3"/>
        <v>-1.4084507042253521E-2</v>
      </c>
      <c r="P16" s="136">
        <f t="shared" si="3"/>
        <v>-5.0793650793650794E-2</v>
      </c>
      <c r="Q16" s="136">
        <f t="shared" si="3"/>
        <v>4.6822742474916385E-2</v>
      </c>
      <c r="R16" s="136">
        <f t="shared" si="3"/>
        <v>7.6677316293929709E-2</v>
      </c>
      <c r="S16" s="136">
        <f t="shared" si="3"/>
        <v>-9.6439169139465875E-2</v>
      </c>
      <c r="T16" s="136">
        <f t="shared" si="3"/>
        <v>-0.1297208538587849</v>
      </c>
      <c r="U16" s="136">
        <f t="shared" si="3"/>
        <v>0.10754716981132076</v>
      </c>
    </row>
    <row r="17" spans="1:21" ht="16.5">
      <c r="A17" s="43" t="s">
        <v>255</v>
      </c>
      <c r="B17" s="43" t="s">
        <v>256</v>
      </c>
      <c r="C17" s="136">
        <f>재무상태표!B$4/재무상태표!B$18</f>
        <v>0.50108060081131189</v>
      </c>
      <c r="D17" s="136">
        <f>재무상태표!C$4/재무상태표!C$18</f>
        <v>0.78638889593718087</v>
      </c>
      <c r="E17" s="136">
        <f>재무상태표!D$4/재무상태표!D$18</f>
        <v>0.95466214110748215</v>
      </c>
      <c r="F17" s="136">
        <f>재무상태표!E$4/재무상태표!E$18</f>
        <v>0.91342120956446216</v>
      </c>
      <c r="G17" s="136">
        <f>재무상태표!F$4/재무상태표!F$18</f>
        <v>0.68441292086048455</v>
      </c>
      <c r="H17" s="135"/>
      <c r="I17" s="41">
        <v>2022</v>
      </c>
      <c r="J17" s="136">
        <f>(J10-U9)/U9</f>
        <v>-3.5775127768313458E-2</v>
      </c>
      <c r="K17" s="136">
        <f>(K10-J10)/J10</f>
        <v>3.5335689045936397E-2</v>
      </c>
      <c r="L17" s="136">
        <f t="shared" si="3"/>
        <v>3.0716723549488054E-2</v>
      </c>
      <c r="M17" s="136">
        <f t="shared" si="3"/>
        <v>-1.6556291390728477E-3</v>
      </c>
      <c r="N17" s="136">
        <f t="shared" si="3"/>
        <v>-3.6484245439469321E-2</v>
      </c>
      <c r="O17" s="136">
        <f t="shared" si="3"/>
        <v>-0.13253012048192772</v>
      </c>
      <c r="P17" s="136">
        <f t="shared" si="3"/>
        <v>3.968253968253968E-3</v>
      </c>
      <c r="Q17" s="136">
        <f t="shared" si="3"/>
        <v>6.1264822134387352E-2</v>
      </c>
      <c r="R17" s="136">
        <f t="shared" si="3"/>
        <v>-0.17690875232774675</v>
      </c>
      <c r="S17" s="136">
        <f t="shared" si="3"/>
        <v>4.5248868778280542E-2</v>
      </c>
      <c r="T17" s="136">
        <f t="shared" si="3"/>
        <v>0.10173160173160173</v>
      </c>
      <c r="U17" s="136">
        <f t="shared" si="3"/>
        <v>-9.8231827111984277E-2</v>
      </c>
    </row>
    <row r="18" spans="1:21" ht="16.5">
      <c r="A18" s="43"/>
      <c r="B18" s="43" t="s">
        <v>257</v>
      </c>
      <c r="C18" s="136">
        <f>(재무상태표!B$4-재무상태표!B$8)/재무상태표!B$18</f>
        <v>0.43207572887237439</v>
      </c>
      <c r="D18" s="136">
        <f>(재무상태표!C$4-재무상태표!C$8)/재무상태표!C$18</f>
        <v>0.71568803136985981</v>
      </c>
      <c r="E18" s="136">
        <f>(재무상태표!D$4-재무상태표!D$8)/재무상태표!D$18</f>
        <v>0.86851952137336919</v>
      </c>
      <c r="F18" s="136">
        <f>(재무상태표!E$4-재무상태표!E$8)/재무상태표!E$18</f>
        <v>0.82270998554413277</v>
      </c>
      <c r="G18" s="136">
        <f>(재무상태표!F$4-재무상태표!F$8)/재무상태표!F$18</f>
        <v>0.61544107765297296</v>
      </c>
      <c r="H18" s="135"/>
      <c r="I18" s="41">
        <v>2023</v>
      </c>
      <c r="J18" s="136">
        <f t="shared" ref="J18:J19" si="4">(J11-U10)/U10</f>
        <v>5.6644880174291937E-2</v>
      </c>
      <c r="K18" s="136">
        <f t="shared" ref="K18:U18" si="5">(K11-J11)/J11</f>
        <v>-6.1855670103092786E-2</v>
      </c>
      <c r="L18" s="136">
        <f t="shared" si="5"/>
        <v>1.9780219780219779E-2</v>
      </c>
      <c r="M18" s="136">
        <f t="shared" si="5"/>
        <v>-1.5086206896551725E-2</v>
      </c>
      <c r="N18" s="136">
        <f t="shared" si="5"/>
        <v>-3.2822757111597371E-2</v>
      </c>
      <c r="O18" s="136">
        <f t="shared" si="5"/>
        <v>0.10180995475113122</v>
      </c>
      <c r="P18" s="136">
        <f t="shared" si="5"/>
        <v>1.0266940451745379E-2</v>
      </c>
      <c r="Q18" s="136">
        <f t="shared" si="5"/>
        <v>-7.3170731707317069E-2</v>
      </c>
      <c r="R18" s="136">
        <f t="shared" si="5"/>
        <v>-4.6052631578947366E-2</v>
      </c>
      <c r="S18" s="136">
        <f t="shared" si="5"/>
        <v>-5.7471264367816091E-2</v>
      </c>
      <c r="T18" s="136">
        <f t="shared" si="5"/>
        <v>9.5121951219512196E-2</v>
      </c>
      <c r="U18" s="136">
        <f t="shared" si="5"/>
        <v>6.4587973273942098E-2</v>
      </c>
    </row>
    <row r="19" spans="1:21" ht="16.5">
      <c r="A19" s="43"/>
      <c r="B19" s="43" t="s">
        <v>258</v>
      </c>
      <c r="C19" s="136">
        <f>재무상태표!B$5/재무상태표!B$18</f>
        <v>0.16457223962876863</v>
      </c>
      <c r="D19" s="136">
        <f>재무상태표!C$5/재무상태표!C$18</f>
        <v>0.14036534874780049</v>
      </c>
      <c r="E19" s="136">
        <f>재무상태표!D$5/재무상태표!D$18</f>
        <v>0.12470533031739897</v>
      </c>
      <c r="F19" s="136">
        <f>재무상태표!E$5/재무상태표!E$18</f>
        <v>6.6184522701970061E-2</v>
      </c>
      <c r="G19" s="136">
        <f>재무상태표!F$5/재무상태표!F$18</f>
        <v>0.13053444514177343</v>
      </c>
      <c r="H19" s="135"/>
      <c r="I19" s="41">
        <v>2024</v>
      </c>
      <c r="J19" s="136">
        <f t="shared" si="4"/>
        <v>-5.8577405857740586E-2</v>
      </c>
      <c r="K19" s="136">
        <f t="shared" ref="K19:U19" si="6">(K12-J12)/J12</f>
        <v>2.2222222222222223E-2</v>
      </c>
      <c r="L19" s="136">
        <f t="shared" si="6"/>
        <v>-5.6521739130434782E-2</v>
      </c>
      <c r="M19" s="136">
        <f t="shared" si="6"/>
        <v>-3.4562211981566823E-2</v>
      </c>
      <c r="N19" s="136">
        <f t="shared" si="6"/>
        <v>-4.7732696897374704E-3</v>
      </c>
      <c r="O19" s="136">
        <f t="shared" si="6"/>
        <v>0.11510791366906475</v>
      </c>
      <c r="P19" s="136">
        <f t="shared" si="6"/>
        <v>-8.6021505376344093E-2</v>
      </c>
      <c r="Q19" s="136">
        <f t="shared" si="6"/>
        <v>3.7647058823529408E-2</v>
      </c>
      <c r="R19" s="136">
        <f t="shared" si="6"/>
        <v>2.2675736961451247E-2</v>
      </c>
      <c r="S19" s="136">
        <f t="shared" si="6"/>
        <v>5.9866962305986697E-2</v>
      </c>
      <c r="T19" s="136">
        <f t="shared" si="6"/>
        <v>8.5774058577405859E-2</v>
      </c>
      <c r="U19" s="136">
        <f t="shared" si="6"/>
        <v>-0.12909441233140656</v>
      </c>
    </row>
    <row r="20" spans="1:21" ht="16.5">
      <c r="A20" s="43" t="s">
        <v>259</v>
      </c>
      <c r="B20" s="43" t="s">
        <v>260</v>
      </c>
      <c r="C20" s="135">
        <f>재무상태표!B$17/재무상태표!B$3</f>
        <v>0.86853052461625846</v>
      </c>
      <c r="D20" s="135">
        <f>재무상태표!C$17/재무상태표!C$3</f>
        <v>0.74258720466685235</v>
      </c>
      <c r="E20" s="135">
        <f>재무상태표!D$17/재무상태표!D$3</f>
        <v>0.67954493359228141</v>
      </c>
      <c r="F20" s="135">
        <f>재무상태표!E$17/재무상태표!E$3</f>
        <v>0.6770439400430448</v>
      </c>
      <c r="G20" s="135">
        <f>재무상태표!F$17/재무상태표!F$3</f>
        <v>0.76680046605177243</v>
      </c>
      <c r="H20" s="135"/>
    </row>
    <row r="21" spans="1:21" ht="16.5">
      <c r="A21" s="43"/>
      <c r="B21" s="43" t="s">
        <v>261</v>
      </c>
      <c r="C21" s="135">
        <f>재무상태표!B$17/재무상태표!B$34</f>
        <v>6.8231196985535343</v>
      </c>
      <c r="D21" s="135">
        <f>재무상태표!C$17/재무상태표!C$34</f>
        <v>2.9325579344243513</v>
      </c>
      <c r="E21" s="135">
        <f>재무상태표!D$17/재무상태표!D$34</f>
        <v>2.1908853780598516</v>
      </c>
      <c r="F21" s="135">
        <f>재무상태표!E$17/재무상태표!E$34</f>
        <v>2.1600430147828731</v>
      </c>
      <c r="G21" s="135">
        <f>재무상태표!F$17/재무상태표!F$34</f>
        <v>3.4421158454165419</v>
      </c>
      <c r="H21" s="135"/>
    </row>
    <row r="22" spans="1:21" ht="16.5">
      <c r="A22" s="43"/>
      <c r="B22" s="43" t="s">
        <v>262</v>
      </c>
      <c r="C22" s="135">
        <f>재무상태표!B$25/재무상태표!B$3</f>
        <v>0.55143027030620362</v>
      </c>
      <c r="D22" s="135">
        <f>재무상태표!C$25/재무상태표!C$3</f>
        <v>0.42596461755830906</v>
      </c>
      <c r="E22" s="135">
        <f>재무상태표!D$25/재무상태표!D$3</f>
        <v>0.38727405990199293</v>
      </c>
      <c r="F22" s="135">
        <f>재무상태표!E$25/재무상태표!E$3</f>
        <v>0.36742517014622128</v>
      </c>
      <c r="G22" s="135">
        <f>재무상태표!F$25/재무상태표!F$3</f>
        <v>0.40575515667558298</v>
      </c>
      <c r="H22" s="135"/>
    </row>
    <row r="23" spans="1:21" ht="16.5">
      <c r="A23" s="43"/>
      <c r="B23" s="43" t="s">
        <v>263</v>
      </c>
      <c r="C23" s="135">
        <f>손익계산서!B$31/손익계산서!B$20</f>
        <v>-1.6024848184152571</v>
      </c>
      <c r="D23" s="135">
        <f>손익계산서!C$31/손익계산서!C$20</f>
        <v>1.4805120509108545</v>
      </c>
      <c r="E23" s="135">
        <f>손익계산서!D$31/손익계산서!D$20</f>
        <v>4.3135126141777977</v>
      </c>
      <c r="F23" s="135">
        <f>손익계산서!E$31/손익계산서!E$20</f>
        <v>2.124716766400514</v>
      </c>
      <c r="G23" s="135">
        <f>손익계산서!F$31/손익계산서!F$20</f>
        <v>2.6876089923034048</v>
      </c>
      <c r="H23" s="135"/>
    </row>
    <row r="25" spans="1:21">
      <c r="C25" s="135"/>
      <c r="D25" s="135"/>
      <c r="E25" s="135"/>
      <c r="F25" s="135"/>
      <c r="G25" s="135"/>
      <c r="H25" s="135"/>
    </row>
    <row r="26" spans="1:21" ht="15">
      <c r="A26" s="137"/>
      <c r="B26" s="137"/>
      <c r="C26" s="137"/>
      <c r="D26" s="137"/>
      <c r="E26" s="135"/>
      <c r="F26" s="135"/>
      <c r="G26" s="135"/>
      <c r="H26" s="135"/>
    </row>
    <row r="27" spans="1:21">
      <c r="A27" s="138"/>
      <c r="B27" s="138"/>
      <c r="C27" s="138"/>
      <c r="D27" s="138"/>
      <c r="E27" s="135"/>
      <c r="F27" s="135"/>
      <c r="G27" s="135"/>
      <c r="H27" s="135"/>
    </row>
    <row r="28" spans="1:21">
      <c r="A28" s="138"/>
      <c r="B28" s="138"/>
      <c r="C28" s="138"/>
      <c r="D28" s="138"/>
      <c r="E28" s="135"/>
      <c r="F28" s="135"/>
      <c r="G28" s="135"/>
      <c r="H28" s="135"/>
      <c r="J28" s="41">
        <v>2020</v>
      </c>
      <c r="K28" s="41">
        <v>2021</v>
      </c>
      <c r="L28" s="41">
        <v>2022</v>
      </c>
      <c r="M28" s="41">
        <v>2023</v>
      </c>
      <c r="N28" s="41">
        <v>2024</v>
      </c>
    </row>
    <row r="29" spans="1:21" ht="16.5">
      <c r="A29" s="138"/>
      <c r="B29" s="138"/>
      <c r="C29" s="138"/>
      <c r="D29" s="138"/>
      <c r="E29" s="135"/>
      <c r="F29" s="135"/>
      <c r="G29" s="135"/>
      <c r="H29" s="135"/>
      <c r="I29" s="41" t="s">
        <v>264</v>
      </c>
      <c r="J29" s="139">
        <f>AVERAGE($J$8:$U$8)</f>
        <v>14916.833333333334</v>
      </c>
      <c r="K29" s="139">
        <f>AVERAGE($J$9:$U$9)</f>
        <v>29633.333333333332</v>
      </c>
      <c r="L29" s="139">
        <f>AVERAGE($J$10:$U$10)</f>
        <v>26495.833333333332</v>
      </c>
      <c r="M29" s="139">
        <f>AVERAGE($J$11:$U$11)</f>
        <v>22958.333333333332</v>
      </c>
      <c r="N29" s="139">
        <f>AVERAGE($J$12:$U$12)</f>
        <v>22545.833333333332</v>
      </c>
    </row>
    <row r="30" spans="1:21" ht="16.5">
      <c r="A30" s="138"/>
      <c r="B30" s="138"/>
      <c r="C30" s="138"/>
      <c r="D30" s="138"/>
      <c r="E30" s="135"/>
      <c r="F30" s="135"/>
      <c r="G30" s="135"/>
      <c r="H30" s="135"/>
      <c r="I30" s="41" t="s">
        <v>265</v>
      </c>
      <c r="J30" s="143">
        <v>174209713</v>
      </c>
      <c r="K30" s="143">
        <v>347820825</v>
      </c>
      <c r="L30" s="143">
        <v>368220661</v>
      </c>
      <c r="M30" s="143">
        <v>368220661</v>
      </c>
      <c r="N30" s="143">
        <v>368220661</v>
      </c>
    </row>
    <row r="31" spans="1:21" ht="16.5">
      <c r="A31" s="138"/>
      <c r="B31" s="138"/>
      <c r="C31" s="138"/>
      <c r="D31" s="138"/>
      <c r="E31" s="135"/>
      <c r="F31" s="135"/>
      <c r="G31" s="135"/>
      <c r="H31" s="135"/>
      <c r="I31" s="41" t="s">
        <v>266</v>
      </c>
      <c r="J31" s="41">
        <f>J29*J30/100000000</f>
        <v>25986.572538688335</v>
      </c>
      <c r="K31" s="41">
        <f t="shared" ref="K31:N31" si="7">K29*K30/100000000</f>
        <v>103070.904475</v>
      </c>
      <c r="L31" s="41">
        <f t="shared" si="7"/>
        <v>97563.132637458315</v>
      </c>
      <c r="M31" s="41">
        <f t="shared" si="7"/>
        <v>84537.326754583337</v>
      </c>
      <c r="N31" s="41">
        <f t="shared" si="7"/>
        <v>83018.416527958325</v>
      </c>
    </row>
    <row r="32" spans="1:21">
      <c r="A32" s="138"/>
      <c r="B32" s="138"/>
      <c r="C32" s="138"/>
      <c r="D32" s="138"/>
      <c r="E32" s="135"/>
      <c r="F32" s="135"/>
      <c r="G32" s="135"/>
      <c r="H32" s="135"/>
    </row>
    <row r="33" spans="1:13">
      <c r="A33" s="138"/>
      <c r="B33" s="138"/>
      <c r="C33" s="138"/>
      <c r="D33" s="138"/>
      <c r="E33" s="135"/>
      <c r="F33" s="135"/>
      <c r="G33" s="135"/>
      <c r="H33" s="135"/>
    </row>
    <row r="34" spans="1:13" ht="16.5">
      <c r="A34" s="138"/>
      <c r="B34" s="138" t="s">
        <v>222</v>
      </c>
      <c r="C34" s="138" t="s">
        <v>223</v>
      </c>
      <c r="D34" s="138" t="s">
        <v>267</v>
      </c>
      <c r="E34" s="135" t="s">
        <v>224</v>
      </c>
      <c r="F34" s="135" t="s">
        <v>225</v>
      </c>
      <c r="G34" s="135" t="s">
        <v>268</v>
      </c>
      <c r="H34" s="138" t="s">
        <v>226</v>
      </c>
      <c r="I34" s="138" t="s">
        <v>227</v>
      </c>
      <c r="J34" s="138" t="s">
        <v>269</v>
      </c>
      <c r="K34" s="135" t="s">
        <v>228</v>
      </c>
      <c r="L34" s="135" t="s">
        <v>229</v>
      </c>
      <c r="M34" s="135" t="s">
        <v>270</v>
      </c>
    </row>
    <row r="35" spans="1:13" ht="16.5">
      <c r="A35" s="41" t="s">
        <v>271</v>
      </c>
      <c r="B35" s="41">
        <v>50.1</v>
      </c>
      <c r="C35" s="41">
        <v>45.5</v>
      </c>
      <c r="D35" s="41">
        <v>54.9</v>
      </c>
      <c r="E35" s="41">
        <v>70.3</v>
      </c>
      <c r="F35" s="41">
        <v>49</v>
      </c>
      <c r="G35" s="41">
        <v>73.900000000000006</v>
      </c>
      <c r="H35" s="41">
        <v>88.4</v>
      </c>
      <c r="I35" s="41">
        <v>47.6</v>
      </c>
      <c r="J35" s="41">
        <v>79.7</v>
      </c>
      <c r="K35" s="41">
        <v>91</v>
      </c>
      <c r="L35" s="41">
        <v>39.299999999999997</v>
      </c>
      <c r="M35" s="41">
        <v>78.3</v>
      </c>
    </row>
    <row r="36" spans="1:13" ht="16.5">
      <c r="A36" s="41" t="s">
        <v>272</v>
      </c>
      <c r="B36" s="41">
        <v>43.6</v>
      </c>
      <c r="C36" s="41">
        <v>35.299999999999997</v>
      </c>
      <c r="D36" s="41">
        <v>49.6</v>
      </c>
      <c r="E36" s="41">
        <v>65.8</v>
      </c>
      <c r="F36" s="41">
        <v>41.2</v>
      </c>
      <c r="G36" s="41">
        <v>68.599999999999994</v>
      </c>
      <c r="H36" s="41">
        <v>78.900000000000006</v>
      </c>
      <c r="I36" s="41">
        <v>38.9</v>
      </c>
      <c r="J36" s="41">
        <v>74.099999999999994</v>
      </c>
      <c r="K36" s="143">
        <v>82.3</v>
      </c>
      <c r="L36" s="41">
        <v>31.2</v>
      </c>
      <c r="M36" s="41">
        <v>72.099999999999994</v>
      </c>
    </row>
    <row r="37" spans="1:13" ht="16.5">
      <c r="A37" s="41" t="s">
        <v>273</v>
      </c>
      <c r="B37" s="41">
        <v>660.3</v>
      </c>
      <c r="C37" s="41">
        <v>1174.2</v>
      </c>
      <c r="D37" s="41">
        <v>535</v>
      </c>
      <c r="E37" s="41">
        <v>295.8</v>
      </c>
      <c r="F37" s="41">
        <v>2411</v>
      </c>
      <c r="G37" s="41">
        <v>349.7</v>
      </c>
      <c r="H37" s="41">
        <v>235.5</v>
      </c>
      <c r="I37" s="41">
        <v>1780.3</v>
      </c>
      <c r="J37" s="41">
        <v>282.2</v>
      </c>
      <c r="K37" s="143">
        <v>210.3</v>
      </c>
      <c r="L37" s="41">
        <v>1161</v>
      </c>
      <c r="M37" s="41">
        <v>260.60000000000002</v>
      </c>
    </row>
    <row r="38" spans="1:13" ht="16.5">
      <c r="A38" s="41" t="s">
        <v>274</v>
      </c>
      <c r="B38" s="41">
        <v>29.7</v>
      </c>
      <c r="C38" s="41">
        <v>36.6</v>
      </c>
      <c r="D38" s="41">
        <v>37.4</v>
      </c>
      <c r="E38" s="41">
        <v>21.5</v>
      </c>
      <c r="F38" s="41">
        <v>26.1</v>
      </c>
      <c r="G38" s="41">
        <v>22.9</v>
      </c>
      <c r="H38" s="41">
        <v>12.1</v>
      </c>
      <c r="I38" s="41">
        <v>26.5</v>
      </c>
      <c r="J38" s="41">
        <v>20.3</v>
      </c>
      <c r="K38" s="143">
        <v>9.9</v>
      </c>
      <c r="L38" s="41">
        <v>27.2</v>
      </c>
      <c r="M38" s="41">
        <v>18</v>
      </c>
    </row>
    <row r="39" spans="1:13" ht="16.5">
      <c r="A39" s="41" t="s">
        <v>275</v>
      </c>
      <c r="B39" s="41">
        <v>0.36</v>
      </c>
      <c r="C39" s="41">
        <v>0.31</v>
      </c>
      <c r="D39" s="41">
        <v>0.31</v>
      </c>
      <c r="E39" s="41">
        <v>0.41</v>
      </c>
      <c r="F39" s="41">
        <v>0.36</v>
      </c>
      <c r="G39" s="41">
        <v>0.36</v>
      </c>
      <c r="H39" s="41">
        <v>0.57999999999999996</v>
      </c>
      <c r="I39" s="41">
        <v>0.52</v>
      </c>
      <c r="J39" s="41">
        <v>0.52</v>
      </c>
      <c r="K39" s="143">
        <v>0.72</v>
      </c>
      <c r="L39" s="41">
        <v>0.6</v>
      </c>
      <c r="M39" s="41">
        <v>0.61</v>
      </c>
    </row>
    <row r="40" spans="1:13">
      <c r="A40" s="41" t="s">
        <v>214</v>
      </c>
      <c r="B40" s="41">
        <v>-36.4</v>
      </c>
      <c r="C40" s="41">
        <v>-36.700000000000003</v>
      </c>
      <c r="D40" s="41">
        <v>-21.7</v>
      </c>
      <c r="E40" s="41">
        <v>15.5</v>
      </c>
      <c r="F40" s="41">
        <v>-10.6</v>
      </c>
      <c r="G40" s="41">
        <v>-10.6</v>
      </c>
      <c r="H40" s="41">
        <v>15.4</v>
      </c>
      <c r="I40" s="41">
        <v>24.3</v>
      </c>
      <c r="J40" s="41">
        <v>24.3</v>
      </c>
      <c r="K40" s="143">
        <v>10.9</v>
      </c>
      <c r="L40" s="41">
        <v>17.7</v>
      </c>
      <c r="M40" s="41">
        <v>17.7</v>
      </c>
    </row>
    <row r="41" spans="1:13">
      <c r="A41" s="41" t="s">
        <v>213</v>
      </c>
      <c r="B41" s="41">
        <v>-3.9</v>
      </c>
      <c r="C41" s="41">
        <v>-3.3</v>
      </c>
      <c r="D41" s="41">
        <v>-3.3</v>
      </c>
      <c r="E41" s="41">
        <v>3.6</v>
      </c>
      <c r="F41" s="41">
        <v>-2</v>
      </c>
      <c r="G41" s="41">
        <v>-2</v>
      </c>
      <c r="H41" s="41">
        <v>6.2</v>
      </c>
      <c r="I41" s="41">
        <v>5.9</v>
      </c>
      <c r="J41" s="41">
        <v>5.9</v>
      </c>
      <c r="K41" s="41">
        <v>4.4000000000000004</v>
      </c>
      <c r="L41" s="41">
        <v>4.8</v>
      </c>
      <c r="M41" s="41">
        <v>4.8</v>
      </c>
    </row>
    <row r="42" spans="1:13" ht="16.5">
      <c r="A42" s="41" t="s">
        <v>276</v>
      </c>
      <c r="B42" s="41">
        <v>1.4</v>
      </c>
      <c r="C42" s="41">
        <v>-7</v>
      </c>
      <c r="D42" s="41">
        <v>-5.8</v>
      </c>
      <c r="E42" s="41">
        <v>15.7</v>
      </c>
      <c r="F42" s="41">
        <v>2.1</v>
      </c>
      <c r="G42" s="41">
        <v>3.6</v>
      </c>
      <c r="H42" s="41">
        <v>20.100000000000001</v>
      </c>
      <c r="I42" s="41">
        <v>9.6</v>
      </c>
      <c r="J42" s="41">
        <v>15.3</v>
      </c>
      <c r="K42" s="41">
        <v>13.4</v>
      </c>
      <c r="L42" s="41">
        <v>8.1</v>
      </c>
      <c r="M42" s="41">
        <v>11.9</v>
      </c>
    </row>
    <row r="44" spans="1:13">
      <c r="B44" s="41" t="s">
        <v>235</v>
      </c>
    </row>
    <row r="45" spans="1:13">
      <c r="B45" s="41" t="s">
        <v>230</v>
      </c>
      <c r="C45" s="41" t="s">
        <v>231</v>
      </c>
      <c r="D45" s="41" t="s">
        <v>232</v>
      </c>
      <c r="E45" s="41" t="s">
        <v>233</v>
      </c>
      <c r="F45" s="41" t="s">
        <v>234</v>
      </c>
      <c r="G45" s="41" t="s">
        <v>235</v>
      </c>
    </row>
    <row r="46" spans="1:13">
      <c r="A46" s="41">
        <v>2020</v>
      </c>
      <c r="B46" s="135">
        <f>(재무상태표!B$4-재무상태표!B$18)/재무상태표!B$3</f>
        <v>-0.15820746836295271</v>
      </c>
      <c r="C46" s="135">
        <f>재무상태표!B$38/재무상태표!B$3</f>
        <v>-2.0742428040537594E-2</v>
      </c>
      <c r="D46" s="135">
        <f>손익계산서!B$29/재무상태표!B$3</f>
        <v>-3.7145489819212153E-2</v>
      </c>
      <c r="E46" s="135">
        <f>J$31/재무상태표!B$17</f>
        <v>0.11877764103481403</v>
      </c>
      <c r="F46" s="135">
        <f>손익계산서!B$3/재무상태표!B$3</f>
        <v>0.30212435348323302</v>
      </c>
      <c r="G46" s="135">
        <f>(1.2*$B46)+(1.4*$C46)+(3.3*$D46)+(0.6*$E46)+$F46</f>
        <v>3.1922460408425446E-2</v>
      </c>
    </row>
    <row r="47" spans="1:13">
      <c r="A47" s="41">
        <v>2021</v>
      </c>
      <c r="B47" s="135">
        <f>(재무상태표!C$4-재무상태표!C$18)/재무상태표!C$3</f>
        <v>-6.7634100403401995E-2</v>
      </c>
      <c r="C47" s="135">
        <f>재무상태표!C$38/재무상태표!C$3</f>
        <v>4.1270702431616384E-3</v>
      </c>
      <c r="D47" s="135">
        <f>손익계산서!C$29/재무상태표!C$3</f>
        <v>3.1610568470398726E-2</v>
      </c>
      <c r="E47" s="135">
        <f>K$31/재무상태표!C$17</f>
        <v>0.52039680236538965</v>
      </c>
      <c r="F47" s="135">
        <f>손익계산서!C$3/재무상태표!C$3</f>
        <v>0.33806453847813223</v>
      </c>
      <c r="G47" s="135">
        <f t="shared" ref="G47:G50" si="8">(1.2*$B47)+(1.4*$C47)+(3.3*$D47)+(0.6*$E47)+$F47</f>
        <v>0.67923447370602563</v>
      </c>
    </row>
    <row r="48" spans="1:13">
      <c r="A48" s="41">
        <v>2022</v>
      </c>
      <c r="B48" s="135">
        <f>(재무상태표!D$4-재무상태표!D$18)/재무상태표!D$3</f>
        <v>-1.3250935629763193E-2</v>
      </c>
      <c r="C48" s="135">
        <f>재무상태표!D$38/재무상태표!D$3</f>
        <v>7.082229393074696E-2</v>
      </c>
      <c r="D48" s="135">
        <f>손익계산서!D$29/재무상태표!D$3</f>
        <v>8.8356487158887068E-2</v>
      </c>
      <c r="E48" s="135">
        <f>L$31/재무상태표!D$17</f>
        <v>0.49511261268105483</v>
      </c>
      <c r="F48" s="135">
        <f>손익계산서!D$3/재무상태표!D$3</f>
        <v>0.48611077161641991</v>
      </c>
      <c r="G48" s="135">
        <f t="shared" si="8"/>
        <v>1.1580048355967101</v>
      </c>
    </row>
    <row r="49" spans="1:7">
      <c r="A49" s="41">
        <v>2023</v>
      </c>
      <c r="B49" s="135">
        <f>(재무상태표!E$4-재무상태표!E$18)/재무상태표!E$3</f>
        <v>-2.6806418593806107E-2</v>
      </c>
      <c r="C49" s="135">
        <f>재무상태표!E$38/재무상태표!E$3</f>
        <v>8.5284292185534696E-2</v>
      </c>
      <c r="D49" s="135">
        <f>손익계산서!E$29/재무상태표!E$3</f>
        <v>5.184594551113985E-2</v>
      </c>
      <c r="E49" s="135">
        <f>M$31/재무상태표!E$17</f>
        <v>0.41084270042257626</v>
      </c>
      <c r="F49" s="135">
        <f>손익계산서!E$3/재무상태표!E$3</f>
        <v>0.53013670837865634</v>
      </c>
      <c r="G49" s="135">
        <f t="shared" si="8"/>
        <v>1.0349642555661447</v>
      </c>
    </row>
    <row r="50" spans="1:7">
      <c r="A50" s="41">
        <v>2024</v>
      </c>
      <c r="B50" s="135">
        <f>(재무상태표!F$4-재무상태표!F$18)/재무상태표!F$3</f>
        <v>-0.11394123462298722</v>
      </c>
      <c r="C50" s="135">
        <f>재무상태표!F$38/재무상태표!F$3</f>
        <v>7.4141647329487026E-2</v>
      </c>
      <c r="D50" s="135">
        <f>손익계산서!F$29/재무상태표!F$3</f>
        <v>3.9057538660401091E-2</v>
      </c>
      <c r="E50" s="135">
        <f>N$31/재무상태표!F$17</f>
        <v>0.23029406233340582</v>
      </c>
      <c r="F50" s="135">
        <f>손익계산서!F$3/재무상태표!F$3</f>
        <v>0.38013046519966631</v>
      </c>
      <c r="G50" s="135">
        <f t="shared" si="8"/>
        <v>0.61426560489273063</v>
      </c>
    </row>
    <row r="52" spans="1:7" ht="16.5">
      <c r="A52" s="140"/>
      <c r="B52" s="140" t="s">
        <v>277</v>
      </c>
      <c r="C52" s="140" t="s">
        <v>278</v>
      </c>
      <c r="G52" s="41" t="s">
        <v>236</v>
      </c>
    </row>
    <row r="53" spans="1:7" ht="16.5">
      <c r="A53" s="144">
        <v>43861</v>
      </c>
      <c r="B53" s="145">
        <v>0</v>
      </c>
      <c r="C53" s="145">
        <v>-3.15</v>
      </c>
      <c r="E53" s="41" t="s">
        <v>279</v>
      </c>
      <c r="F53" s="41">
        <v>2020</v>
      </c>
      <c r="G53" s="141">
        <f>_xlfn.COVARIANCE.S(B53:B64,C53:C64)/_xlfn.VAR.S(C53:C64)</f>
        <v>0.97353522361379563</v>
      </c>
    </row>
    <row r="54" spans="1:7">
      <c r="A54" s="144">
        <v>43890</v>
      </c>
      <c r="B54" s="142">
        <v>-5.7042996570825641</v>
      </c>
      <c r="C54" s="145">
        <v>-8.4499999999999993</v>
      </c>
      <c r="F54" s="41">
        <v>2021</v>
      </c>
      <c r="G54" s="141">
        <f>_xlfn.COVARIANCE.S(B65:B76,C65:C76)/_xlfn.VAR.S(C65:C76)</f>
        <v>2.6351071919625344</v>
      </c>
    </row>
    <row r="55" spans="1:7">
      <c r="A55" s="144">
        <v>43921</v>
      </c>
      <c r="B55" s="142">
        <v>-16.147982376389958</v>
      </c>
      <c r="C55" s="145">
        <v>-11.64</v>
      </c>
      <c r="F55" s="41">
        <v>2022</v>
      </c>
      <c r="G55" s="141">
        <f>_xlfn.COVARIANCE.S(B77:B88,C77:C88)/_xlfn.VAR.S(C77:C88)</f>
        <v>1.020463870160436</v>
      </c>
    </row>
    <row r="56" spans="1:7">
      <c r="A56" s="144">
        <v>43951</v>
      </c>
      <c r="B56" s="142">
        <v>5.8882402001668055</v>
      </c>
      <c r="C56" s="145">
        <v>10.42</v>
      </c>
      <c r="F56" s="41">
        <v>2023</v>
      </c>
      <c r="G56" s="141">
        <f>_xlfn.COVARIANCE.S(B89:B100,C89:C100)/_xlfn.VAR.S(C89:C100)</f>
        <v>0.85541128356034024</v>
      </c>
    </row>
    <row r="57" spans="1:7">
      <c r="A57" s="144">
        <v>43982</v>
      </c>
      <c r="B57" s="142">
        <v>4.5447385003150593</v>
      </c>
      <c r="C57" s="145">
        <v>3.94</v>
      </c>
      <c r="F57" s="41">
        <v>2024</v>
      </c>
      <c r="G57" s="141">
        <f>_xlfn.COVARIANCE.S(B101:B112,C101:C112)/_xlfn.VAR.S(C101:C112)</f>
        <v>6.1460993148171543E-2</v>
      </c>
    </row>
    <row r="58" spans="1:7" ht="16.5">
      <c r="A58" s="144">
        <v>44012</v>
      </c>
      <c r="B58" s="142">
        <v>1.3561365177427862</v>
      </c>
      <c r="C58" s="145">
        <v>4.3899999999999997</v>
      </c>
      <c r="E58" s="41" t="s">
        <v>280</v>
      </c>
      <c r="F58" s="41" t="s">
        <v>237</v>
      </c>
      <c r="G58" s="141">
        <f>_xlfn.COVARIANCE.S(B53:B88,C53:C88)/_xlfn.VAR.S(C53:C88)</f>
        <v>1.1496907517971</v>
      </c>
    </row>
    <row r="59" spans="1:7">
      <c r="A59" s="144">
        <v>44043</v>
      </c>
      <c r="B59" s="142">
        <v>0.28989816397829482</v>
      </c>
      <c r="C59" s="145">
        <v>6.87</v>
      </c>
      <c r="F59" s="41" t="s">
        <v>238</v>
      </c>
      <c r="G59" s="141">
        <f>_xlfn.COVARIANCE.S(B65:B100,C65:C100)/_xlfn.VAR.S(C65:C100)</f>
        <v>1.1616181895543458</v>
      </c>
    </row>
    <row r="60" spans="1:7">
      <c r="A60" s="144">
        <v>44074</v>
      </c>
      <c r="B60" s="142">
        <v>1.4378891194782093</v>
      </c>
      <c r="C60" s="145">
        <v>2.61</v>
      </c>
      <c r="F60" s="41" t="s">
        <v>239</v>
      </c>
      <c r="G60" s="141">
        <f>_xlfn.COVARIANCE.S(B77:B112,C77:C112)/_xlfn.VAR.S(C77:C112)</f>
        <v>0.78000840908183056</v>
      </c>
    </row>
    <row r="61" spans="1:7" ht="16.5">
      <c r="A61" s="144">
        <v>44104</v>
      </c>
      <c r="B61" s="142">
        <v>6.7952652345462523</v>
      </c>
      <c r="C61" s="145">
        <v>-0.9</v>
      </c>
      <c r="E61" s="41" t="s">
        <v>281</v>
      </c>
      <c r="F61" s="41" t="s">
        <v>240</v>
      </c>
      <c r="G61" s="141">
        <f>_xlfn.COVARIANCE.S(B53:B112,C53:C112)/_xlfn.VAR.S(C53:C112)</f>
        <v>0.99072643840801378</v>
      </c>
    </row>
    <row r="62" spans="1:7">
      <c r="A62" s="144">
        <v>44135</v>
      </c>
      <c r="B62" s="142">
        <v>5.8360700602079918</v>
      </c>
      <c r="C62" s="145">
        <v>-2.5299999999999998</v>
      </c>
    </row>
    <row r="63" spans="1:7">
      <c r="A63" s="144">
        <v>44165</v>
      </c>
      <c r="B63" s="142">
        <v>27.82338871290969</v>
      </c>
      <c r="C63" s="145">
        <v>14.74</v>
      </c>
    </row>
    <row r="64" spans="1:7">
      <c r="A64" s="144">
        <v>44196</v>
      </c>
      <c r="B64" s="142">
        <v>6.6656551863652451</v>
      </c>
      <c r="C64" s="145">
        <v>12.5</v>
      </c>
    </row>
    <row r="65" spans="1:3">
      <c r="A65" s="144">
        <v>44227</v>
      </c>
      <c r="B65" s="142">
        <v>36.076999668104882</v>
      </c>
      <c r="C65" s="145">
        <v>6.11</v>
      </c>
    </row>
    <row r="66" spans="1:3">
      <c r="A66" s="144">
        <v>44255</v>
      </c>
      <c r="B66" s="142">
        <v>-1.9163763066202089</v>
      </c>
      <c r="C66" s="145">
        <v>-3.94</v>
      </c>
    </row>
    <row r="67" spans="1:3">
      <c r="A67" s="144">
        <v>44286</v>
      </c>
      <c r="B67" s="142">
        <v>-3.374777975133215</v>
      </c>
      <c r="C67" s="145">
        <v>1.25</v>
      </c>
    </row>
    <row r="68" spans="1:3">
      <c r="A68" s="144">
        <v>44316</v>
      </c>
      <c r="B68" s="142">
        <v>-1.1029411764705883</v>
      </c>
      <c r="C68" s="145">
        <v>1.38</v>
      </c>
    </row>
    <row r="69" spans="1:3">
      <c r="A69" s="144">
        <v>44347</v>
      </c>
      <c r="B69" s="142">
        <v>18.773234200743495</v>
      </c>
      <c r="C69" s="145">
        <v>1.31</v>
      </c>
    </row>
    <row r="70" spans="1:3">
      <c r="A70" s="144">
        <v>44377</v>
      </c>
      <c r="B70" s="142">
        <v>-1.4084507042253522</v>
      </c>
      <c r="C70" s="145">
        <v>3.03</v>
      </c>
    </row>
    <row r="71" spans="1:3">
      <c r="A71" s="144">
        <v>44408</v>
      </c>
      <c r="B71" s="142">
        <v>-5.0793650793650791</v>
      </c>
      <c r="C71" s="145">
        <v>-3.4</v>
      </c>
    </row>
    <row r="72" spans="1:3">
      <c r="A72" s="144">
        <v>44439</v>
      </c>
      <c r="B72" s="142">
        <v>4.6822742474916383</v>
      </c>
      <c r="C72" s="145">
        <v>-0.97</v>
      </c>
    </row>
    <row r="73" spans="1:3">
      <c r="A73" s="144">
        <v>44469</v>
      </c>
      <c r="B73" s="142">
        <v>7.6677316293929714</v>
      </c>
      <c r="C73" s="145">
        <v>-2.48</v>
      </c>
    </row>
    <row r="74" spans="1:3">
      <c r="A74" s="144">
        <v>44500</v>
      </c>
      <c r="B74" s="142">
        <v>-9.6439169139465868</v>
      </c>
      <c r="C74" s="145">
        <v>-2.9</v>
      </c>
    </row>
    <row r="75" spans="1:3">
      <c r="A75" s="144">
        <v>44530</v>
      </c>
      <c r="B75" s="142">
        <v>-12.97208538587849</v>
      </c>
      <c r="C75" s="145">
        <v>-3.92</v>
      </c>
    </row>
    <row r="76" spans="1:3">
      <c r="A76" s="144">
        <v>44561</v>
      </c>
      <c r="B76" s="142">
        <v>10.754716981132075</v>
      </c>
      <c r="C76" s="145">
        <v>5.61</v>
      </c>
    </row>
    <row r="77" spans="1:3">
      <c r="A77" s="144">
        <v>44592</v>
      </c>
      <c r="B77" s="142">
        <v>-3.5775127768313459</v>
      </c>
      <c r="C77" s="145">
        <v>-10.77</v>
      </c>
    </row>
    <row r="78" spans="1:3">
      <c r="A78" s="144">
        <v>44620</v>
      </c>
      <c r="B78" s="142">
        <v>3.5335689045936398</v>
      </c>
      <c r="C78" s="145">
        <v>0.99</v>
      </c>
    </row>
    <row r="79" spans="1:3">
      <c r="A79" s="144">
        <v>44651</v>
      </c>
      <c r="B79" s="142">
        <v>3.0716723549488054</v>
      </c>
      <c r="C79" s="145">
        <v>1.1299999999999999</v>
      </c>
    </row>
    <row r="80" spans="1:3">
      <c r="A80" s="144">
        <v>44681</v>
      </c>
      <c r="B80" s="142">
        <v>-0.16556291390728478</v>
      </c>
      <c r="C80" s="145">
        <v>-2.39</v>
      </c>
    </row>
    <row r="81" spans="1:3">
      <c r="A81" s="144">
        <v>44712</v>
      </c>
      <c r="B81" s="142">
        <v>-3.6484245439469323</v>
      </c>
      <c r="C81" s="145">
        <v>-0.15</v>
      </c>
    </row>
    <row r="82" spans="1:3">
      <c r="A82" s="144">
        <v>44742</v>
      </c>
      <c r="B82" s="142">
        <v>-13.253012048192772</v>
      </c>
      <c r="C82" s="145">
        <v>-12.85</v>
      </c>
    </row>
    <row r="83" spans="1:3">
      <c r="A83" s="144">
        <v>44773</v>
      </c>
      <c r="B83" s="142">
        <v>0.3968253968253968</v>
      </c>
      <c r="C83" s="145">
        <v>3.34</v>
      </c>
    </row>
    <row r="84" spans="1:3">
      <c r="A84" s="144">
        <v>44804</v>
      </c>
      <c r="B84" s="142">
        <v>6.1264822134387353</v>
      </c>
      <c r="C84" s="145">
        <v>-0.11</v>
      </c>
    </row>
    <row r="85" spans="1:3">
      <c r="A85" s="144">
        <v>44834</v>
      </c>
      <c r="B85" s="142">
        <v>-17.690875232774676</v>
      </c>
      <c r="C85" s="145">
        <v>-11.93</v>
      </c>
    </row>
    <row r="86" spans="1:3">
      <c r="A86" s="144">
        <v>44865</v>
      </c>
      <c r="B86" s="142">
        <v>4.5248868778280542</v>
      </c>
      <c r="C86" s="145">
        <v>6.48</v>
      </c>
    </row>
    <row r="87" spans="1:3">
      <c r="A87" s="144">
        <v>44895</v>
      </c>
      <c r="B87" s="142">
        <v>10.173160173160174</v>
      </c>
      <c r="C87" s="145">
        <v>8.7899999999999991</v>
      </c>
    </row>
    <row r="88" spans="1:3">
      <c r="A88" s="144">
        <v>44926</v>
      </c>
      <c r="B88" s="142">
        <v>-9.8231827111984273</v>
      </c>
      <c r="C88" s="145">
        <v>-7.76</v>
      </c>
    </row>
    <row r="89" spans="1:3">
      <c r="A89" s="144">
        <v>44957</v>
      </c>
      <c r="B89" s="142">
        <v>5.6644880174291936</v>
      </c>
      <c r="C89" s="145">
        <v>8.99</v>
      </c>
    </row>
    <row r="90" spans="1:3">
      <c r="A90" s="144">
        <v>44985</v>
      </c>
      <c r="B90" s="142">
        <v>-6.1855670103092786</v>
      </c>
      <c r="C90" s="145">
        <v>-4.0199999999999996</v>
      </c>
    </row>
    <row r="91" spans="1:3">
      <c r="A91" s="144">
        <v>45016</v>
      </c>
      <c r="B91" s="142">
        <v>1.9780219780219779</v>
      </c>
      <c r="C91" s="145">
        <v>2.2999999999999998</v>
      </c>
    </row>
    <row r="92" spans="1:3">
      <c r="A92" s="144">
        <v>45046</v>
      </c>
      <c r="B92" s="142">
        <v>-1.5086206896551724</v>
      </c>
      <c r="C92" s="145">
        <v>3.19</v>
      </c>
    </row>
    <row r="93" spans="1:3">
      <c r="A93" s="144">
        <v>45077</v>
      </c>
      <c r="B93" s="142">
        <v>-3.2822757111597372</v>
      </c>
      <c r="C93" s="145">
        <v>3.88</v>
      </c>
    </row>
    <row r="94" spans="1:3">
      <c r="A94" s="144">
        <v>45107</v>
      </c>
      <c r="B94" s="142">
        <v>10.180995475113122</v>
      </c>
      <c r="C94" s="145">
        <v>-1.04</v>
      </c>
    </row>
    <row r="95" spans="1:3">
      <c r="A95" s="144">
        <v>45138</v>
      </c>
      <c r="B95" s="142">
        <v>1.0266940451745379</v>
      </c>
      <c r="C95" s="145">
        <v>2.27</v>
      </c>
    </row>
    <row r="96" spans="1:3">
      <c r="A96" s="144">
        <v>45169</v>
      </c>
      <c r="B96" s="142">
        <v>-7.3170731707317067</v>
      </c>
      <c r="C96" s="145">
        <v>-3.15</v>
      </c>
    </row>
    <row r="97" spans="1:3">
      <c r="A97" s="144">
        <v>45199</v>
      </c>
      <c r="B97" s="142">
        <v>-4.6052631578947363</v>
      </c>
      <c r="C97" s="145">
        <v>-1.07</v>
      </c>
    </row>
    <row r="98" spans="1:3">
      <c r="A98" s="144">
        <v>45230</v>
      </c>
      <c r="B98" s="142">
        <v>-5.7471264367816088</v>
      </c>
      <c r="C98" s="145">
        <v>-6.47</v>
      </c>
    </row>
    <row r="99" spans="1:3">
      <c r="A99" s="144">
        <v>45260</v>
      </c>
      <c r="B99" s="142">
        <v>9.5121951219512191</v>
      </c>
      <c r="C99" s="145">
        <v>9.5399999999999991</v>
      </c>
    </row>
    <row r="100" spans="1:3">
      <c r="A100" s="144">
        <v>45291</v>
      </c>
      <c r="B100" s="142">
        <v>6.4587973273942101</v>
      </c>
      <c r="C100" s="145">
        <v>6.06</v>
      </c>
    </row>
    <row r="101" spans="1:3">
      <c r="A101" s="144">
        <v>45322</v>
      </c>
      <c r="B101" s="142">
        <v>-5.8577405857740583</v>
      </c>
      <c r="C101" s="145">
        <v>-6.08</v>
      </c>
    </row>
    <row r="102" spans="1:3">
      <c r="A102" s="144">
        <v>45351</v>
      </c>
      <c r="B102" s="142">
        <v>2.2222222222222223</v>
      </c>
      <c r="C102" s="145">
        <v>5.25</v>
      </c>
    </row>
    <row r="103" spans="1:3">
      <c r="A103" s="144">
        <v>45382</v>
      </c>
      <c r="B103" s="142">
        <v>-5.6521739130434785</v>
      </c>
      <c r="C103" s="145">
        <v>5.36</v>
      </c>
    </row>
    <row r="104" spans="1:3">
      <c r="A104" s="144">
        <v>45412</v>
      </c>
      <c r="B104" s="142">
        <v>-3.4562211981566824</v>
      </c>
      <c r="C104" s="145">
        <v>-2.54</v>
      </c>
    </row>
    <row r="105" spans="1:3">
      <c r="A105" s="144">
        <v>45443</v>
      </c>
      <c r="B105" s="142">
        <v>-0.47732696897374705</v>
      </c>
      <c r="C105" s="145">
        <v>-1.9</v>
      </c>
    </row>
    <row r="106" spans="1:3">
      <c r="A106" s="144">
        <v>45473</v>
      </c>
      <c r="B106" s="142">
        <v>11.510791366906476</v>
      </c>
      <c r="C106" s="145">
        <v>3.42</v>
      </c>
    </row>
    <row r="107" spans="1:3">
      <c r="A107" s="144">
        <v>45504</v>
      </c>
      <c r="B107" s="142">
        <v>-8.6021505376344098</v>
      </c>
      <c r="C107" s="145">
        <v>-0.92</v>
      </c>
    </row>
    <row r="108" spans="1:3">
      <c r="A108" s="144">
        <v>45535</v>
      </c>
      <c r="B108" s="142">
        <v>3.7647058823529407</v>
      </c>
      <c r="C108" s="145">
        <v>-3.55</v>
      </c>
    </row>
    <row r="109" spans="1:3">
      <c r="A109" s="144">
        <v>45565</v>
      </c>
      <c r="B109" s="142">
        <v>2.2675736961451247</v>
      </c>
      <c r="C109" s="145">
        <v>-4.6399999999999997</v>
      </c>
    </row>
    <row r="110" spans="1:3">
      <c r="A110" s="144">
        <v>45596</v>
      </c>
      <c r="B110" s="142">
        <v>5.9866962305986693</v>
      </c>
      <c r="C110" s="145">
        <v>-1.58</v>
      </c>
    </row>
    <row r="111" spans="1:3">
      <c r="A111" s="144">
        <v>45626</v>
      </c>
      <c r="B111" s="142">
        <v>8.5774058577405867</v>
      </c>
      <c r="C111" s="145">
        <v>-6.56</v>
      </c>
    </row>
    <row r="112" spans="1:3">
      <c r="A112" s="144">
        <v>45657</v>
      </c>
      <c r="B112" s="142">
        <v>-12.909441233140656</v>
      </c>
      <c r="C112" s="145">
        <v>-2.34</v>
      </c>
    </row>
  </sheetData>
  <phoneticPr fontId="3" type="noConversion"/>
  <pageMargins left="0.7" right="0.7" top="0.75" bottom="0.75" header="0.3" footer="0.3"/>
  <ignoredErrors>
    <ignoredError sqref="C10:G10 B47:B48 C48:F4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6284-357F-41BE-A3A1-DFBF91806DA0}">
  <dimension ref="A1:Q82"/>
  <sheetViews>
    <sheetView topLeftCell="A43" workbookViewId="0">
      <selection activeCell="A68" sqref="A67:D82"/>
    </sheetView>
  </sheetViews>
  <sheetFormatPr defaultRowHeight="16.5"/>
  <cols>
    <col min="1" max="1" width="36.125" bestFit="1" customWidth="1"/>
    <col min="2" max="2" width="10" bestFit="1" customWidth="1"/>
    <col min="3" max="4" width="12.75" bestFit="1" customWidth="1"/>
    <col min="9" max="9" width="19.25" bestFit="1" customWidth="1"/>
  </cols>
  <sheetData>
    <row r="1" spans="1:17">
      <c r="B1" t="s">
        <v>317</v>
      </c>
    </row>
    <row r="2" spans="1:17">
      <c r="B2">
        <v>2020</v>
      </c>
      <c r="C2">
        <v>2021</v>
      </c>
      <c r="D2">
        <v>2022</v>
      </c>
      <c r="E2">
        <v>2023</v>
      </c>
      <c r="F2">
        <v>2024</v>
      </c>
      <c r="J2">
        <v>2020</v>
      </c>
      <c r="K2">
        <v>2021</v>
      </c>
      <c r="L2">
        <v>2022</v>
      </c>
      <c r="M2">
        <v>2023</v>
      </c>
      <c r="N2">
        <v>2024</v>
      </c>
      <c r="O2" s="147" t="s">
        <v>300</v>
      </c>
      <c r="P2" s="147" t="s">
        <v>301</v>
      </c>
      <c r="Q2" s="147" t="s">
        <v>302</v>
      </c>
    </row>
    <row r="3" spans="1:17">
      <c r="A3" t="s">
        <v>283</v>
      </c>
      <c r="B3" s="146">
        <f>손익계산서!$B$3</f>
        <v>76105.309162699996</v>
      </c>
      <c r="C3" s="146">
        <f>손익계산서!$C$3</f>
        <v>90168.246402999997</v>
      </c>
      <c r="D3" s="146">
        <f>손익계산서!$D$3</f>
        <v>140960.94819140001</v>
      </c>
      <c r="E3" s="146">
        <f>손익계산서!$E$3</f>
        <v>161117.96106140001</v>
      </c>
      <c r="F3" s="146">
        <f>손익계산서!$F$3</f>
        <v>178707.184958</v>
      </c>
      <c r="G3" s="146"/>
      <c r="I3" t="s">
        <v>282</v>
      </c>
      <c r="J3" s="146">
        <f>손익계산서!$B$3</f>
        <v>76105.309162699996</v>
      </c>
      <c r="K3" s="146">
        <f>손익계산서!$C$3</f>
        <v>90168.246402999997</v>
      </c>
      <c r="L3" s="146">
        <f>손익계산서!$D$3</f>
        <v>140960.94819140001</v>
      </c>
      <c r="M3" s="146">
        <f>손익계산서!$E$3</f>
        <v>161117.96106140001</v>
      </c>
      <c r="N3" s="146">
        <f>손익계산서!$F$3</f>
        <v>178707.184958</v>
      </c>
      <c r="O3">
        <f>N3*(1+$G$15)</f>
        <v>223395.59258438443</v>
      </c>
      <c r="P3">
        <f t="shared" ref="P3:Q3" si="0">O3*(1+$G$15)</f>
        <v>279259.00571852864</v>
      </c>
      <c r="Q3">
        <f t="shared" si="0"/>
        <v>349091.90182632313</v>
      </c>
    </row>
    <row r="4" spans="1:17">
      <c r="A4" t="s">
        <v>284</v>
      </c>
      <c r="B4" s="146">
        <f>손익계산서!$B$6</f>
        <v>68501.042019999993</v>
      </c>
      <c r="C4" s="146">
        <f>손익계산서!$C$6</f>
        <v>69120.470639399995</v>
      </c>
      <c r="D4" s="146">
        <f>손익계산서!$D$6</f>
        <v>102454.40430530001</v>
      </c>
      <c r="E4" s="146">
        <f>손익계산서!$E$6</f>
        <v>128503.018769</v>
      </c>
      <c r="F4" s="146">
        <f>손익계산서!$F$6</f>
        <v>141125.50106899999</v>
      </c>
      <c r="G4" s="146"/>
      <c r="I4" t="s">
        <v>318</v>
      </c>
      <c r="J4" s="146">
        <f>손익계산서!$B$6</f>
        <v>68501.042019999993</v>
      </c>
      <c r="K4" s="146">
        <f>손익계산서!$C$6</f>
        <v>69120.470639399995</v>
      </c>
      <c r="L4" s="146">
        <f>손익계산서!$D$6</f>
        <v>102454.40430530001</v>
      </c>
      <c r="M4" s="146">
        <f>손익계산서!$E$6</f>
        <v>128503.018769</v>
      </c>
      <c r="N4" s="146">
        <f>손익계산서!$F$6</f>
        <v>141125.50106899999</v>
      </c>
      <c r="O4">
        <f>O3*$G$16</f>
        <v>177856.68095860319</v>
      </c>
      <c r="P4">
        <f t="shared" ref="P4:Q4" si="1">P3*$G$16</f>
        <v>222332.40732417628</v>
      </c>
      <c r="Q4">
        <f t="shared" si="1"/>
        <v>277929.95506347524</v>
      </c>
    </row>
    <row r="5" spans="1:17">
      <c r="A5" t="s">
        <v>286</v>
      </c>
      <c r="B5" s="146">
        <f>손익계산서!$B$7</f>
        <v>7604.2671426999996</v>
      </c>
      <c r="C5" s="146">
        <f>손익계산서!$C$7</f>
        <v>21047.775763500002</v>
      </c>
      <c r="D5" s="146">
        <f>손익계산서!$D$7</f>
        <v>38506.5438861</v>
      </c>
      <c r="E5" s="146">
        <f>손익계산서!$E$7</f>
        <v>32614.942292299998</v>
      </c>
      <c r="F5" s="146">
        <f>손익계산서!$F$7</f>
        <v>37581.683888899999</v>
      </c>
      <c r="G5" s="146"/>
      <c r="I5" t="s">
        <v>285</v>
      </c>
      <c r="J5" s="146">
        <f>손익계산서!$B$7</f>
        <v>7604.2671426999996</v>
      </c>
      <c r="K5" s="146">
        <f>손익계산서!$C$7</f>
        <v>21047.775763500002</v>
      </c>
      <c r="L5" s="146">
        <f>손익계산서!$D$7</f>
        <v>38506.5438861</v>
      </c>
      <c r="M5" s="146">
        <f>손익계산서!$E$7</f>
        <v>32614.942292299998</v>
      </c>
      <c r="N5" s="146">
        <f>손익계산서!$F$7</f>
        <v>37581.683888899999</v>
      </c>
      <c r="O5">
        <f>O3-O4</f>
        <v>45538.911625781242</v>
      </c>
      <c r="P5">
        <f t="shared" ref="P5:Q5" si="2">P3-P4</f>
        <v>56926.598394352361</v>
      </c>
      <c r="Q5">
        <f t="shared" si="2"/>
        <v>71161.946762847889</v>
      </c>
    </row>
    <row r="6" spans="1:17">
      <c r="A6" t="s">
        <v>287</v>
      </c>
      <c r="B6" s="146">
        <f>손익계산서!$B$8</f>
        <v>6531.0267836000003</v>
      </c>
      <c r="C6" s="146">
        <f>손익계산서!$C$8</f>
        <v>6868.0894353000003</v>
      </c>
      <c r="D6" s="146">
        <f>손익계산서!$D$8</f>
        <v>10200.6763488</v>
      </c>
      <c r="E6" s="146">
        <f>손익계산서!$E$8</f>
        <v>14714.050384300001</v>
      </c>
      <c r="F6" s="146">
        <f>손익계산서!$F$8</f>
        <v>16479.683109000001</v>
      </c>
      <c r="G6" s="146"/>
      <c r="I6" t="s">
        <v>319</v>
      </c>
      <c r="J6" s="146">
        <f>손익계산서!$B$8</f>
        <v>6531.0267836000003</v>
      </c>
      <c r="K6" s="146">
        <f>손익계산서!$C$8</f>
        <v>6868.0894353000003</v>
      </c>
      <c r="L6" s="146">
        <f>손익계산서!$D$8</f>
        <v>10200.6763488</v>
      </c>
      <c r="M6" s="146">
        <f>손익계산서!$E$8</f>
        <v>14714.050384300001</v>
      </c>
      <c r="N6" s="146">
        <f>손익계산서!$F$8</f>
        <v>16479.683109000001</v>
      </c>
      <c r="O6">
        <f>O3*$G$17</f>
        <v>18671.02187173249</v>
      </c>
      <c r="P6">
        <f t="shared" ref="P6:Q6" si="3">P3*$G$17</f>
        <v>23339.990477562289</v>
      </c>
      <c r="Q6">
        <f t="shared" si="3"/>
        <v>29176.504598146574</v>
      </c>
    </row>
    <row r="7" spans="1:17">
      <c r="A7" t="s">
        <v>289</v>
      </c>
      <c r="B7" s="146">
        <f>손익계산서!$B$15</f>
        <v>1073.2403591</v>
      </c>
      <c r="C7" s="146">
        <f>손익계산서!$C$15</f>
        <v>14179.686328199999</v>
      </c>
      <c r="D7" s="146">
        <f>손익계산서!$D$15</f>
        <v>28305.867537300001</v>
      </c>
      <c r="E7" s="146">
        <f>손익계산서!$E$15</f>
        <v>17900.891908000001</v>
      </c>
      <c r="F7" s="146">
        <f>손익계산서!$F$15</f>
        <v>21102.000779900001</v>
      </c>
      <c r="G7" s="146"/>
      <c r="I7" t="s">
        <v>288</v>
      </c>
      <c r="J7" s="146">
        <f>손익계산서!$B$15</f>
        <v>1073.2403591</v>
      </c>
      <c r="K7" s="146">
        <f>손익계산서!$C$15</f>
        <v>14179.686328199999</v>
      </c>
      <c r="L7" s="146">
        <f>손익계산서!$D$15</f>
        <v>28305.867537300001</v>
      </c>
      <c r="M7" s="146">
        <f>손익계산서!$E$15</f>
        <v>17900.891908000001</v>
      </c>
      <c r="N7" s="146">
        <f>손익계산서!$F$15</f>
        <v>21102.000779900001</v>
      </c>
      <c r="O7">
        <f>O5-O6</f>
        <v>26867.889754048752</v>
      </c>
      <c r="P7">
        <f t="shared" ref="P7:Q7" si="4">P5-P6</f>
        <v>33586.607916790075</v>
      </c>
      <c r="Q7">
        <f t="shared" si="4"/>
        <v>41985.442164701315</v>
      </c>
    </row>
    <row r="8" spans="1:17">
      <c r="A8" t="s">
        <v>291</v>
      </c>
      <c r="B8" s="146">
        <f>손익계산서!$B$16+손익계산서!$B$22</f>
        <v>9903.8190300000006</v>
      </c>
      <c r="C8" s="146">
        <f>손익계산서!$C$16+손익계산서!$C$22</f>
        <v>9383.1366200000011</v>
      </c>
      <c r="D8" s="146">
        <f>손익계산서!$D$16+손익계산서!$D$22</f>
        <v>13525.60183</v>
      </c>
      <c r="E8" s="146">
        <f>손익계산서!$E$16+손익계산서!$E$22</f>
        <v>10104.37752</v>
      </c>
      <c r="F8" s="146">
        <f>손익계산서!$F$16+손익계산서!$F$22</f>
        <v>15635.40417</v>
      </c>
      <c r="G8" s="146"/>
      <c r="I8" t="s">
        <v>290</v>
      </c>
      <c r="J8" s="146">
        <f>손익계산서!$B$16+손익계산서!$B$22</f>
        <v>9903.8190300000006</v>
      </c>
      <c r="K8" s="146">
        <f>손익계산서!$C$16+손익계산서!$C$22</f>
        <v>9383.1366200000011</v>
      </c>
      <c r="L8" s="146">
        <f>손익계산서!$D$16+손익계산서!$D$22</f>
        <v>13525.60183</v>
      </c>
      <c r="M8" s="146">
        <f>손익계산서!$E$16+손익계산서!$E$22</f>
        <v>10104.37752</v>
      </c>
      <c r="N8" s="146">
        <f>손익계산서!$F$16+손익계산서!$F$22</f>
        <v>15635.40417</v>
      </c>
      <c r="O8" t="s">
        <v>320</v>
      </c>
      <c r="P8" t="s">
        <v>320</v>
      </c>
      <c r="Q8" t="s">
        <v>320</v>
      </c>
    </row>
    <row r="9" spans="1:17">
      <c r="A9" t="s">
        <v>293</v>
      </c>
      <c r="B9" s="146">
        <f>손익계산서!$B$19+손익계산서!$B$23</f>
        <v>20343.298889999998</v>
      </c>
      <c r="C9" s="146">
        <f>손익계산서!$C$19+손익계산서!$C$23</f>
        <v>15132.023740000001</v>
      </c>
      <c r="D9" s="146">
        <f>손익계산서!$D$19+손익계산서!$D$23</f>
        <v>16208.07273</v>
      </c>
      <c r="E9" s="146">
        <f>손익계산서!$E$19+손익계산서!$E$23</f>
        <v>12248.567060000001</v>
      </c>
      <c r="F9" s="146">
        <f>손익계산서!$F$19+손익계산서!$F$23</f>
        <v>18376.008969999999</v>
      </c>
      <c r="G9" s="146"/>
      <c r="I9" t="s">
        <v>292</v>
      </c>
      <c r="J9" s="146">
        <f>손익계산서!$B$19+손익계산서!$B$23</f>
        <v>20343.298889999998</v>
      </c>
      <c r="K9" s="146">
        <f>손익계산서!$C$19+손익계산서!$C$23</f>
        <v>15132.023740000001</v>
      </c>
      <c r="L9" s="146">
        <f>손익계산서!$D$19+손익계산서!$D$23</f>
        <v>16208.07273</v>
      </c>
      <c r="M9" s="146">
        <f>손익계산서!$E$19+손익계산서!$E$23</f>
        <v>12248.567060000001</v>
      </c>
      <c r="N9" s="146">
        <f>손익계산서!$F$19+손익계산서!$F$23</f>
        <v>18376.008969999999</v>
      </c>
      <c r="O9" t="s">
        <v>320</v>
      </c>
      <c r="P9" t="s">
        <v>320</v>
      </c>
      <c r="Q9" t="s">
        <v>320</v>
      </c>
    </row>
    <row r="10" spans="1:17">
      <c r="A10" t="s">
        <v>295</v>
      </c>
      <c r="B10" s="146">
        <f>손익계산서!$B$29</f>
        <v>-9356.9715718000007</v>
      </c>
      <c r="C10" s="146">
        <f>손익계산서!$C$29</f>
        <v>8431.1402183999999</v>
      </c>
      <c r="D10" s="146">
        <f>손익계산서!$D$29</f>
        <v>25621.349980300001</v>
      </c>
      <c r="E10" s="146">
        <f>손익계산서!$E$29</f>
        <v>15756.9036402</v>
      </c>
      <c r="F10" s="146">
        <f>손익계산서!$F$29</f>
        <v>18361.755829599999</v>
      </c>
      <c r="G10" s="146"/>
      <c r="I10" t="s">
        <v>294</v>
      </c>
      <c r="J10" s="146">
        <f>손익계산서!$B$29</f>
        <v>-9356.9715718000007</v>
      </c>
      <c r="K10" s="146">
        <f>손익계산서!$C$29</f>
        <v>8431.1402183999999</v>
      </c>
      <c r="L10" s="146">
        <f>손익계산서!$D$29</f>
        <v>25621.349980300001</v>
      </c>
      <c r="M10" s="146">
        <f>손익계산서!$E$29</f>
        <v>15756.9036402</v>
      </c>
      <c r="N10" s="146">
        <f>손익계산서!$F$29</f>
        <v>18361.755829599999</v>
      </c>
      <c r="O10">
        <f>O7</f>
        <v>26867.889754048752</v>
      </c>
      <c r="P10">
        <f>P7</f>
        <v>33586.607916790075</v>
      </c>
      <c r="Q10">
        <f>Q7</f>
        <v>41985.442164701315</v>
      </c>
    </row>
    <row r="11" spans="1:17">
      <c r="A11" t="s">
        <v>296</v>
      </c>
      <c r="B11" s="146">
        <f>손익계산서!$B$30</f>
        <v>-1122.4025890999999</v>
      </c>
      <c r="C11" s="146">
        <f>손익계산서!$C$30</f>
        <v>2643.3198861000001</v>
      </c>
      <c r="D11" s="146">
        <f>손익계산서!$D$30</f>
        <v>8326.3214556999992</v>
      </c>
      <c r="E11" s="146">
        <f>손익계산서!$E$30</f>
        <v>4465.8462826000004</v>
      </c>
      <c r="F11" s="146">
        <f>손익계산서!$F$30</f>
        <v>4543.1750789999996</v>
      </c>
      <c r="G11" s="146"/>
      <c r="I11" t="s">
        <v>321</v>
      </c>
      <c r="J11" s="146">
        <f>손익계산서!$B$30</f>
        <v>-1122.4025890999999</v>
      </c>
      <c r="K11" s="146">
        <f>손익계산서!$C$30</f>
        <v>2643.3198861000001</v>
      </c>
      <c r="L11" s="146">
        <f>손익계산서!$D$30</f>
        <v>8326.3214556999992</v>
      </c>
      <c r="M11" s="146">
        <f>손익계산서!$E$30</f>
        <v>4465.8462826000004</v>
      </c>
      <c r="N11" s="146">
        <f>손익계산서!$F$30</f>
        <v>4543.1750789999996</v>
      </c>
      <c r="O11">
        <f>O10*$G$23</f>
        <v>6928.1310659468518</v>
      </c>
      <c r="P11">
        <f t="shared" ref="P11:Q11" si="5">P10*$G$23</f>
        <v>8660.6139833897869</v>
      </c>
      <c r="Q11">
        <f t="shared" si="5"/>
        <v>10826.330197180778</v>
      </c>
    </row>
    <row r="12" spans="1:17">
      <c r="A12" t="s">
        <v>298</v>
      </c>
      <c r="B12" s="146">
        <f>손익계산서!$B$33</f>
        <v>-2300.1863496999999</v>
      </c>
      <c r="C12" s="146">
        <f>손익계산서!$C$33</f>
        <v>5787.8203322999998</v>
      </c>
      <c r="D12" s="146">
        <f>손익계산서!$D$33</f>
        <v>17295.028524599998</v>
      </c>
      <c r="E12" s="146">
        <f>손익계산서!$E$33</f>
        <v>11291.0573575</v>
      </c>
      <c r="F12" s="146">
        <f>손익계산서!$F$33</f>
        <v>13818.580750499999</v>
      </c>
      <c r="G12" s="146"/>
      <c r="I12" t="s">
        <v>297</v>
      </c>
      <c r="J12" s="146">
        <f>손익계산서!$B$33</f>
        <v>-2300.1863496999999</v>
      </c>
      <c r="K12" s="146">
        <f>손익계산서!$C$33</f>
        <v>5787.8203322999998</v>
      </c>
      <c r="L12" s="146">
        <f>손익계산서!$D$33</f>
        <v>17295.028524599998</v>
      </c>
      <c r="M12" s="146">
        <f>손익계산서!$E$33</f>
        <v>11291.0573575</v>
      </c>
      <c r="N12" s="146">
        <f>손익계산서!$F$33</f>
        <v>13818.580750499999</v>
      </c>
      <c r="O12">
        <f>O10-O11</f>
        <v>19939.758688101901</v>
      </c>
      <c r="P12">
        <f t="shared" ref="P12:Q12" si="6">P10-P11</f>
        <v>24925.993933400288</v>
      </c>
      <c r="Q12">
        <f t="shared" si="6"/>
        <v>31159.111967520537</v>
      </c>
    </row>
    <row r="13" spans="1:17">
      <c r="B13" s="146"/>
      <c r="C13" s="146"/>
      <c r="D13" s="146"/>
      <c r="E13" s="146"/>
      <c r="F13" s="146"/>
      <c r="G13" s="146"/>
      <c r="I13" t="s">
        <v>299</v>
      </c>
      <c r="J13">
        <f>-현금흐름표!$B$95</f>
        <v>610</v>
      </c>
      <c r="K13">
        <f>-현금흐름표!$C$95</f>
        <v>182</v>
      </c>
      <c r="L13">
        <f>-현금흐름표!$D$95</f>
        <v>46</v>
      </c>
      <c r="M13" s="146">
        <f>-현금흐름표!$E$95</f>
        <v>2821</v>
      </c>
      <c r="N13" s="146">
        <f>-현금흐름표!$F$95</f>
        <v>2782</v>
      </c>
      <c r="O13">
        <f>O12*$G$24</f>
        <v>2419.051359798827</v>
      </c>
      <c r="P13">
        <f t="shared" ref="P13:Q13" si="7">P12*$G$24</f>
        <v>3023.9713760883569</v>
      </c>
      <c r="Q13">
        <f t="shared" si="7"/>
        <v>3780.1607007476564</v>
      </c>
    </row>
    <row r="14" spans="1:17">
      <c r="G14" t="s">
        <v>322</v>
      </c>
      <c r="M14" s="146"/>
      <c r="N14" s="146"/>
    </row>
    <row r="15" spans="1:17">
      <c r="A15" t="s">
        <v>323</v>
      </c>
      <c r="B15" s="134"/>
      <c r="C15" s="134">
        <f>(C3-B3)/B3</f>
        <v>0.18478260445977393</v>
      </c>
      <c r="D15" s="134">
        <f>(D3-C3)/C3</f>
        <v>0.56331029841021818</v>
      </c>
      <c r="E15" s="134">
        <f>(E3-D3)/D3</f>
        <v>0.14299714302879371</v>
      </c>
      <c r="F15" s="134">
        <f>(F3-E3)/E3</f>
        <v>0.10916985158406366</v>
      </c>
      <c r="G15" s="134">
        <f>AVERAGE(C15:F15)</f>
        <v>0.25006497437071235</v>
      </c>
      <c r="J15">
        <v>2020</v>
      </c>
      <c r="K15">
        <v>2021</v>
      </c>
      <c r="L15">
        <v>2022</v>
      </c>
      <c r="M15">
        <v>2023</v>
      </c>
      <c r="N15">
        <v>2024</v>
      </c>
      <c r="O15" t="s">
        <v>322</v>
      </c>
    </row>
    <row r="16" spans="1:17">
      <c r="A16" t="s">
        <v>324</v>
      </c>
      <c r="B16" s="134">
        <f>B4/B3</f>
        <v>0.90008230402896872</v>
      </c>
      <c r="C16" s="134">
        <f t="shared" ref="C16:F16" si="8">C4/C3</f>
        <v>0.76657219583123981</v>
      </c>
      <c r="D16" s="134">
        <f t="shared" si="8"/>
        <v>0.72682828556307</v>
      </c>
      <c r="E16" s="134">
        <f t="shared" si="8"/>
        <v>0.79757103380937855</v>
      </c>
      <c r="F16" s="134">
        <f t="shared" si="8"/>
        <v>0.78970244594344374</v>
      </c>
      <c r="G16" s="134">
        <f>AVERAGE(B16:F16)</f>
        <v>0.79615125303522016</v>
      </c>
      <c r="I16" t="s">
        <v>216</v>
      </c>
      <c r="J16" s="132">
        <f>재무비율분석!$C$10</f>
        <v>9.4444306545768786</v>
      </c>
      <c r="K16" s="132">
        <f>재무비율분석!$D$10</f>
        <v>7.9992201630295812</v>
      </c>
      <c r="L16" s="132">
        <f>재무비율분석!$E$10</f>
        <v>12.336847133467213</v>
      </c>
      <c r="M16" s="132">
        <f>재무비율분석!$F$10</f>
        <v>14.160524386163411</v>
      </c>
      <c r="N16" s="132">
        <f>재무비율분석!$G$10</f>
        <v>11.241865965898489</v>
      </c>
      <c r="O16" s="132">
        <f>AVERAGE(J16:N16)</f>
        <v>11.036577660627115</v>
      </c>
    </row>
    <row r="17" spans="1:15">
      <c r="A17" t="s">
        <v>325</v>
      </c>
      <c r="B17" s="134">
        <f>B6/B3</f>
        <v>8.5815652750819177E-2</v>
      </c>
      <c r="C17" s="134">
        <f t="shared" ref="C17:F17" si="9">C6/C3</f>
        <v>7.6169712834422948E-2</v>
      </c>
      <c r="D17" s="134">
        <f t="shared" si="9"/>
        <v>7.2365264845901056E-2</v>
      </c>
      <c r="E17" s="134">
        <f t="shared" si="9"/>
        <v>9.1324705745827198E-2</v>
      </c>
      <c r="F17" s="134">
        <f t="shared" si="9"/>
        <v>9.2216119418327122E-2</v>
      </c>
      <c r="G17" s="134">
        <f t="shared" ref="G17:G19" si="10">AVERAGE(B17:F17)</f>
        <v>8.3578291119059497E-2</v>
      </c>
      <c r="I17" t="s">
        <v>215</v>
      </c>
      <c r="J17" s="132">
        <f>재무비율분석!$C$8</f>
        <v>12.427724377485049</v>
      </c>
      <c r="K17" s="132">
        <f>재무비율분석!$D$8</f>
        <v>11.57673421792169</v>
      </c>
      <c r="L17" s="132">
        <f>재무비율분석!$E$8</f>
        <v>14.033417690559213</v>
      </c>
      <c r="M17" s="132">
        <f>재무비율분석!$F$8</f>
        <v>15.054590336713529</v>
      </c>
      <c r="N17" s="132">
        <f>재무비율분석!$G$8</f>
        <v>12.05487248758762</v>
      </c>
      <c r="O17" s="132">
        <f>AVERAGE(J17:N17)</f>
        <v>13.029467822053419</v>
      </c>
    </row>
    <row r="18" spans="1:15">
      <c r="A18" t="s">
        <v>326</v>
      </c>
      <c r="B18" s="134">
        <f>B7/B3</f>
        <v>1.4102043220212109E-2</v>
      </c>
      <c r="C18" s="134">
        <f t="shared" ref="C18:F18" si="11">C7/C3</f>
        <v>0.15725809133322821</v>
      </c>
      <c r="D18" s="134">
        <f t="shared" si="11"/>
        <v>0.20080644959102889</v>
      </c>
      <c r="E18" s="134">
        <f t="shared" si="11"/>
        <v>0.11110426044417356</v>
      </c>
      <c r="F18" s="134">
        <f t="shared" si="11"/>
        <v>0.11808143463766956</v>
      </c>
      <c r="G18" s="134">
        <f t="shared" si="10"/>
        <v>0.12027045584526246</v>
      </c>
      <c r="I18" t="s">
        <v>327</v>
      </c>
      <c r="J18" s="132">
        <f>손익계산서!$B$3/재무상태표!$B$19</f>
        <v>9.1385750092654607</v>
      </c>
      <c r="K18" s="132">
        <f>손익계산서!$C$3/재무상태표!$C$19</f>
        <v>9.5005995791484423</v>
      </c>
      <c r="L18" s="132">
        <f>손익계산서!$D$3/재무상태표!$D$19</f>
        <v>10.116891439003666</v>
      </c>
      <c r="M18" s="132">
        <f>손익계산서!$E$3/재무상태표!$E$19</f>
        <v>8.8813604659418672</v>
      </c>
      <c r="N18" s="132">
        <f>손익계산서!$F$3/재무상태표!$F$19</f>
        <v>5.1579838644016487</v>
      </c>
      <c r="O18" s="132">
        <f>AVERAGE(J18:N18)</f>
        <v>8.5590820715522167</v>
      </c>
    </row>
    <row r="19" spans="1:15">
      <c r="A19" t="s">
        <v>328</v>
      </c>
      <c r="B19" s="134">
        <f>B12/B3</f>
        <v>-3.0223730446749766E-2</v>
      </c>
      <c r="C19" s="134">
        <f t="shared" ref="C19:F19" si="12">C12/C3</f>
        <v>6.418911937614695E-2</v>
      </c>
      <c r="D19" s="134">
        <f t="shared" si="12"/>
        <v>0.12269375842390343</v>
      </c>
      <c r="E19" s="134">
        <f t="shared" si="12"/>
        <v>7.0079445414512914E-2</v>
      </c>
      <c r="F19" s="134">
        <f t="shared" si="12"/>
        <v>7.7325266769479137E-2</v>
      </c>
      <c r="G19" s="134">
        <f t="shared" si="10"/>
        <v>6.0812771907458527E-2</v>
      </c>
      <c r="I19" t="s">
        <v>329</v>
      </c>
      <c r="J19" s="132">
        <f>손익계산서!$B$3/재무상태표!$B$9</f>
        <v>11.129761503758408</v>
      </c>
      <c r="K19" s="132">
        <f>손익계산서!$C$3/재무상태표!$C$9</f>
        <v>13.75564399740656</v>
      </c>
      <c r="L19" s="132">
        <f>손익계산서!$D$3/재무상태표!$D$9</f>
        <v>80.64127470903891</v>
      </c>
      <c r="M19" s="132">
        <f>손익계산서!$E$3/재무상태표!$E$9</f>
        <v>44.057413470440252</v>
      </c>
      <c r="N19" s="132">
        <f>손익계산서!$F$3/재무상태표!$F$9</f>
        <v>9.1560193133517771</v>
      </c>
      <c r="O19" s="132">
        <f>AVERAGE(J19:N19)</f>
        <v>31.748022598799178</v>
      </c>
    </row>
    <row r="20" spans="1:15">
      <c r="I20" t="s">
        <v>330</v>
      </c>
      <c r="J20" s="132">
        <f>손익계산서!$B$3/재무상태표!$B$24</f>
        <v>6.8967203591028543</v>
      </c>
      <c r="K20" s="132">
        <f>손익계산서!$C$3/재무상태표!$C$24</f>
        <v>5.2192779811877745</v>
      </c>
      <c r="L20" s="132">
        <f>손익계산서!$D$3/재무상태표!$D$24</f>
        <v>5.8846517571762549</v>
      </c>
      <c r="M20" s="132">
        <f>손익계산서!$E$3/재무상태표!$E$24</f>
        <v>4.6114073402615992</v>
      </c>
      <c r="N20" s="132">
        <f>손익계산서!$F$3/재무상태표!$F$24</f>
        <v>3.6292354939582867</v>
      </c>
      <c r="O20" s="132">
        <f>AVERAGE(J20:N20)</f>
        <v>5.2482585863373545</v>
      </c>
    </row>
    <row r="21" spans="1:15">
      <c r="A21" t="s">
        <v>331</v>
      </c>
      <c r="B21" s="146">
        <f>손익계산서!$B$10</f>
        <v>853.89976000000001</v>
      </c>
      <c r="C21" s="146">
        <f>손익계산서!$C$10</f>
        <v>751.28988000000004</v>
      </c>
      <c r="D21" s="146">
        <f>손익계산서!$D$10</f>
        <v>902.95902999999998</v>
      </c>
      <c r="E21" s="146">
        <f>손익계산서!$E$10</f>
        <v>995.24</v>
      </c>
      <c r="F21" s="146">
        <f>손익계산서!$F$10</f>
        <v>881.04</v>
      </c>
      <c r="G21" s="146">
        <f>AVERAGE(B21:F21)</f>
        <v>876.88573400000007</v>
      </c>
    </row>
    <row r="22" spans="1:15">
      <c r="A22" t="s">
        <v>332</v>
      </c>
      <c r="B22">
        <f>-현금흐름표!$B$95</f>
        <v>610</v>
      </c>
      <c r="C22">
        <f>-현금흐름표!$C$95</f>
        <v>182</v>
      </c>
      <c r="D22">
        <f>-현금흐름표!$D$95</f>
        <v>46</v>
      </c>
      <c r="E22" s="146">
        <f>-현금흐름표!$E$95</f>
        <v>2821</v>
      </c>
      <c r="F22" s="146">
        <f>-현금흐름표!$F$95</f>
        <v>2782</v>
      </c>
      <c r="G22" s="146"/>
    </row>
    <row r="23" spans="1:15">
      <c r="A23" t="s">
        <v>333</v>
      </c>
      <c r="B23" s="134">
        <f>B11/B10</f>
        <v>0.11995361752329053</v>
      </c>
      <c r="C23" s="134">
        <f t="shared" ref="C23:F23" si="13">C11/C10</f>
        <v>0.31351867216384999</v>
      </c>
      <c r="D23" s="134">
        <f t="shared" si="13"/>
        <v>0.32497590728443365</v>
      </c>
      <c r="E23" s="134">
        <f t="shared" si="13"/>
        <v>0.28342156457734841</v>
      </c>
      <c r="F23" s="134">
        <f t="shared" si="13"/>
        <v>0.24742596084826438</v>
      </c>
      <c r="G23" s="134">
        <f>AVERAGE(B23:F23)</f>
        <v>0.25785914447943736</v>
      </c>
    </row>
    <row r="24" spans="1:15">
      <c r="A24" t="s">
        <v>334</v>
      </c>
      <c r="B24" s="133">
        <f>B22/B12</f>
        <v>-0.26519590470552912</v>
      </c>
      <c r="C24" s="133">
        <f>C22/C12</f>
        <v>3.1445343765133034E-2</v>
      </c>
      <c r="D24" s="133">
        <f t="shared" ref="D24:F24" si="14">D22/D12</f>
        <v>2.6597238584816899E-3</v>
      </c>
      <c r="E24" s="133">
        <f t="shared" si="14"/>
        <v>0.24984374011050187</v>
      </c>
      <c r="F24" s="133">
        <f t="shared" si="14"/>
        <v>0.20132313514897965</v>
      </c>
      <c r="G24" s="133">
        <f>AVERAGE(C24:F24)</f>
        <v>0.12131798572077405</v>
      </c>
    </row>
    <row r="25" spans="1:15">
      <c r="B25" s="133"/>
      <c r="C25" s="133"/>
      <c r="D25" s="133"/>
      <c r="E25" s="133"/>
      <c r="F25" s="133"/>
      <c r="G25" s="133"/>
    </row>
    <row r="26" spans="1:15">
      <c r="A26" s="148"/>
      <c r="B26" s="149" t="s">
        <v>39</v>
      </c>
      <c r="C26" s="149"/>
      <c r="D26" s="149"/>
      <c r="E26" s="149"/>
      <c r="F26" s="149"/>
    </row>
    <row r="27" spans="1:15">
      <c r="A27" s="148"/>
      <c r="B27" s="150">
        <v>2020</v>
      </c>
      <c r="C27" s="150">
        <v>2021</v>
      </c>
      <c r="D27" s="150">
        <v>2022</v>
      </c>
      <c r="E27" s="150">
        <v>2023</v>
      </c>
      <c r="F27" s="150">
        <v>2024</v>
      </c>
      <c r="G27" t="s">
        <v>300</v>
      </c>
      <c r="H27" s="150" t="s">
        <v>301</v>
      </c>
      <c r="I27" t="s">
        <v>302</v>
      </c>
    </row>
    <row r="28" spans="1:15">
      <c r="A28" s="151" t="s">
        <v>0</v>
      </c>
      <c r="B28" s="61">
        <v>251900.6107428</v>
      </c>
      <c r="C28" s="61">
        <v>266719.03184200003</v>
      </c>
      <c r="D28" s="61">
        <v>289977.01022479997</v>
      </c>
      <c r="E28" s="61">
        <v>303917.7602965</v>
      </c>
      <c r="F28" s="61">
        <v>470120.65940080001</v>
      </c>
    </row>
    <row r="29" spans="1:15">
      <c r="A29" s="151" t="s">
        <v>1</v>
      </c>
      <c r="B29" s="61">
        <v>40025.189822699998</v>
      </c>
      <c r="C29" s="61">
        <v>66409.968113700001</v>
      </c>
      <c r="D29" s="61">
        <v>80909.367431899998</v>
      </c>
      <c r="E29" s="61">
        <v>85951.6963922</v>
      </c>
      <c r="F29" s="61">
        <v>116168.73056349999</v>
      </c>
    </row>
    <row r="30" spans="1:15">
      <c r="A30" s="152" t="s">
        <v>6</v>
      </c>
      <c r="B30" s="23">
        <v>13145.65984</v>
      </c>
      <c r="C30" s="23">
        <v>11853.75122</v>
      </c>
      <c r="D30" s="23">
        <v>10569.00547</v>
      </c>
      <c r="E30" s="23">
        <v>6227.8737799999999</v>
      </c>
      <c r="F30" s="23">
        <v>22156.245630000001</v>
      </c>
    </row>
    <row r="31" spans="1:15">
      <c r="A31" s="152" t="s">
        <v>3</v>
      </c>
      <c r="B31" s="23">
        <v>6470.9663112999997</v>
      </c>
      <c r="C31" s="23">
        <v>30758.1647897</v>
      </c>
      <c r="D31" s="23">
        <v>49865.229772300001</v>
      </c>
      <c r="E31" s="23">
        <v>56152.599117999998</v>
      </c>
      <c r="F31" s="23">
        <v>46890.718163799997</v>
      </c>
    </row>
    <row r="32" spans="1:15">
      <c r="A32" s="152" t="s">
        <v>4</v>
      </c>
      <c r="B32" s="23">
        <v>8058.2209713000002</v>
      </c>
      <c r="C32" s="23">
        <v>11272.1296033</v>
      </c>
      <c r="D32" s="23">
        <v>11426.010768100001</v>
      </c>
      <c r="E32" s="23">
        <v>11377.965721299999</v>
      </c>
      <c r="F32" s="23">
        <v>15896.576733800001</v>
      </c>
      <c r="G32">
        <f>O3*$O$16</f>
        <v>2465522.8065993735</v>
      </c>
      <c r="H32">
        <f t="shared" ref="H32:I32" si="15">P3*$O$16</f>
        <v>3082063.7040420529</v>
      </c>
      <c r="I32">
        <f t="shared" si="15"/>
        <v>3852779.8852022318</v>
      </c>
    </row>
    <row r="33" spans="1:9">
      <c r="A33" s="152" t="s">
        <v>2</v>
      </c>
      <c r="B33" s="23">
        <v>5511.9537527000002</v>
      </c>
      <c r="C33" s="23">
        <v>5970.6363934999999</v>
      </c>
      <c r="D33" s="23">
        <v>7300.7450190999998</v>
      </c>
      <c r="E33" s="23">
        <v>8535.8030935999996</v>
      </c>
      <c r="F33" s="23">
        <v>11706.926076100001</v>
      </c>
      <c r="G33">
        <f>O3*$O$17</f>
        <v>2910725.6851667925</v>
      </c>
      <c r="H33">
        <f t="shared" ref="H33:I33" si="16">P3*$O$17</f>
        <v>3638596.2290282007</v>
      </c>
      <c r="I33">
        <f t="shared" si="16"/>
        <v>4548481.7017855085</v>
      </c>
    </row>
    <row r="34" spans="1:9">
      <c r="A34" s="152" t="s">
        <v>5</v>
      </c>
      <c r="B34" s="23">
        <v>6838</v>
      </c>
      <c r="C34" s="23">
        <v>6555</v>
      </c>
      <c r="D34" s="23">
        <v>1748</v>
      </c>
      <c r="E34" s="23">
        <v>3657</v>
      </c>
      <c r="F34" s="23">
        <v>19518</v>
      </c>
      <c r="G34">
        <f>O3*$O$19</f>
        <v>7092368.321841171</v>
      </c>
      <c r="H34">
        <f t="shared" ref="H34:I34" si="17">P3*$O$19</f>
        <v>8865921.2244700361</v>
      </c>
      <c r="I34">
        <f t="shared" si="17"/>
        <v>11082977.588239891</v>
      </c>
    </row>
    <row r="35" spans="1:9">
      <c r="A35" s="151" t="s">
        <v>35</v>
      </c>
      <c r="B35" s="61">
        <v>211875.4209201</v>
      </c>
      <c r="C35" s="61">
        <v>200309.06372820001</v>
      </c>
      <c r="D35" s="61">
        <v>209067.64279290001</v>
      </c>
      <c r="E35" s="61">
        <v>217966.06390430001</v>
      </c>
      <c r="F35" s="61">
        <v>353951.92883729999</v>
      </c>
    </row>
    <row r="36" spans="1:9">
      <c r="A36" s="152" t="s">
        <v>10</v>
      </c>
      <c r="B36" s="23">
        <v>6850.7950737000001</v>
      </c>
      <c r="C36" s="23">
        <v>10127.4303363</v>
      </c>
      <c r="D36" s="23">
        <v>11278.3239201</v>
      </c>
      <c r="E36" s="23">
        <v>9651.1415429999997</v>
      </c>
      <c r="F36" s="23">
        <v>5401.6574238000003</v>
      </c>
    </row>
    <row r="37" spans="1:9">
      <c r="A37" s="152" t="s">
        <v>9</v>
      </c>
      <c r="B37" s="23">
        <v>2565.7745786</v>
      </c>
      <c r="C37" s="23">
        <v>2625.0993481999999</v>
      </c>
      <c r="D37" s="23">
        <v>2687.3100980999998</v>
      </c>
      <c r="E37" s="23">
        <v>2607.4910288999999</v>
      </c>
      <c r="F37" s="23">
        <v>2778.6307181000002</v>
      </c>
    </row>
    <row r="38" spans="1:9">
      <c r="A38" s="152" t="s">
        <v>7</v>
      </c>
      <c r="B38" s="23">
        <v>184821.39652730001</v>
      </c>
      <c r="C38" s="23">
        <v>169140.84201789999</v>
      </c>
      <c r="D38" s="23">
        <v>170790.86486510001</v>
      </c>
      <c r="E38" s="23">
        <v>181748.8681628</v>
      </c>
      <c r="F38" s="23">
        <v>283744.90873099997</v>
      </c>
    </row>
    <row r="39" spans="1:9">
      <c r="A39" s="152" t="s">
        <v>8</v>
      </c>
      <c r="B39" s="23">
        <v>2681.45147</v>
      </c>
      <c r="C39" s="23">
        <v>2759.84267</v>
      </c>
      <c r="D39" s="23">
        <v>8737.5451599999997</v>
      </c>
      <c r="E39" s="23">
        <v>8241.8567800000001</v>
      </c>
      <c r="F39" s="23">
        <v>30774.069920000002</v>
      </c>
    </row>
    <row r="40" spans="1:9">
      <c r="A40" s="152" t="s">
        <v>36</v>
      </c>
      <c r="B40" s="23">
        <v>14892</v>
      </c>
      <c r="C40" s="23">
        <v>15594</v>
      </c>
      <c r="D40" s="23">
        <v>15574</v>
      </c>
      <c r="E40" s="23">
        <v>15717</v>
      </c>
      <c r="F40" s="23">
        <v>29707</v>
      </c>
    </row>
    <row r="41" spans="1:9">
      <c r="A41" s="151" t="s">
        <v>11</v>
      </c>
      <c r="B41" s="61">
        <v>218783.3695996</v>
      </c>
      <c r="C41" s="61">
        <v>198062.14028699999</v>
      </c>
      <c r="D41" s="61">
        <v>197052.40815649999</v>
      </c>
      <c r="E41" s="61">
        <v>205765.6778802</v>
      </c>
      <c r="F41" s="61">
        <v>360488.74072910001</v>
      </c>
    </row>
    <row r="42" spans="1:9">
      <c r="A42" s="151" t="s">
        <v>12</v>
      </c>
      <c r="B42" s="61">
        <v>79877.747727399998</v>
      </c>
      <c r="C42" s="61">
        <v>84449.269892800003</v>
      </c>
      <c r="D42" s="61">
        <v>84751.834128500006</v>
      </c>
      <c r="E42" s="61">
        <v>94098.643092800005</v>
      </c>
      <c r="F42" s="61">
        <v>169734.85891740001</v>
      </c>
    </row>
    <row r="43" spans="1:9">
      <c r="A43" s="152" t="s">
        <v>15</v>
      </c>
      <c r="B43" s="23">
        <v>8327.9186399999999</v>
      </c>
      <c r="C43" s="23">
        <v>9490.7953600000001</v>
      </c>
      <c r="D43" s="23">
        <v>13933.22732</v>
      </c>
      <c r="E43" s="23">
        <v>18141.13521</v>
      </c>
      <c r="F43" s="23">
        <v>34646.712679999997</v>
      </c>
      <c r="G43">
        <f>O3*$O$18</f>
        <v>1912061.2113527881</v>
      </c>
      <c r="H43">
        <f>P3*$O$18</f>
        <v>2390200.7491649566</v>
      </c>
      <c r="I43">
        <f>Q3*$O$18</f>
        <v>2987906.2382457489</v>
      </c>
    </row>
    <row r="44" spans="1:9">
      <c r="A44" s="152" t="s">
        <v>13</v>
      </c>
      <c r="B44" s="23">
        <v>19008.869740800001</v>
      </c>
      <c r="C44" s="23">
        <v>9855.6822952000002</v>
      </c>
      <c r="D44" s="23">
        <v>9060.5109979000008</v>
      </c>
      <c r="E44" s="23">
        <v>10214.076800000001</v>
      </c>
      <c r="F44" s="23">
        <v>25170.217400000001</v>
      </c>
    </row>
    <row r="45" spans="1:9">
      <c r="A45" s="152" t="s">
        <v>17</v>
      </c>
      <c r="B45" s="23">
        <v>939.46500739999999</v>
      </c>
      <c r="C45" s="23">
        <v>2302.600265</v>
      </c>
      <c r="D45" s="23">
        <v>7471.0450884000002</v>
      </c>
      <c r="E45" s="23">
        <v>2014.3156739999999</v>
      </c>
      <c r="F45" s="23">
        <v>2754.4845406999998</v>
      </c>
    </row>
    <row r="46" spans="1:9">
      <c r="A46" s="152" t="s">
        <v>14</v>
      </c>
      <c r="B46" s="23">
        <v>39472.610943</v>
      </c>
      <c r="C46" s="23">
        <v>43719.551375000003</v>
      </c>
      <c r="D46" s="23">
        <v>27502.288224700002</v>
      </c>
      <c r="E46" s="23">
        <v>27179.636439900001</v>
      </c>
      <c r="F46" s="23">
        <v>47234.9922066</v>
      </c>
    </row>
    <row r="47" spans="1:9">
      <c r="A47" s="152" t="s">
        <v>16</v>
      </c>
      <c r="B47" s="23">
        <v>548.64936309999996</v>
      </c>
      <c r="C47" s="23">
        <v>1317.9706682999999</v>
      </c>
      <c r="D47" s="23">
        <v>2830.8501034999999</v>
      </c>
      <c r="E47" s="23">
        <v>1610.9615558999999</v>
      </c>
      <c r="F47" s="23">
        <v>6529.2699000000002</v>
      </c>
    </row>
    <row r="48" spans="1:9">
      <c r="A48" s="152" t="s">
        <v>18</v>
      </c>
      <c r="B48" s="23">
        <v>11035</v>
      </c>
      <c r="C48" s="23">
        <v>17276</v>
      </c>
      <c r="D48" s="23">
        <v>23954</v>
      </c>
      <c r="E48" s="23">
        <v>34939</v>
      </c>
      <c r="F48" s="23">
        <v>49241</v>
      </c>
      <c r="G48">
        <f>O3*$O$20</f>
        <v>1172437.8369309171</v>
      </c>
      <c r="H48">
        <f t="shared" ref="H48:I48" si="18">P3*$O$20</f>
        <v>1465623.4745743002</v>
      </c>
      <c r="I48">
        <f t="shared" si="18"/>
        <v>1832124.5711808372</v>
      </c>
    </row>
    <row r="49" spans="1:6">
      <c r="A49" s="151" t="s">
        <v>19</v>
      </c>
      <c r="B49" s="61">
        <v>138905.62187219999</v>
      </c>
      <c r="C49" s="61">
        <v>113612.8703941</v>
      </c>
      <c r="D49" s="61">
        <v>112300.574028</v>
      </c>
      <c r="E49" s="61">
        <v>111667.0347874</v>
      </c>
      <c r="F49" s="61">
        <v>190753.8818116</v>
      </c>
    </row>
    <row r="50" spans="1:6">
      <c r="A50" s="152" t="s">
        <v>20</v>
      </c>
      <c r="B50" s="23">
        <v>12444.139510000001</v>
      </c>
      <c r="C50" s="23">
        <v>10582.31365</v>
      </c>
      <c r="D50" s="23">
        <v>18305.284909999998</v>
      </c>
      <c r="E50" s="23">
        <v>18428.366679999999</v>
      </c>
      <c r="F50" s="23">
        <v>14631.07639</v>
      </c>
    </row>
    <row r="51" spans="1:6">
      <c r="A51" s="152" t="s">
        <v>21</v>
      </c>
      <c r="B51" s="23">
        <v>17708.3275665</v>
      </c>
      <c r="C51" s="23">
        <v>9192.0413958999998</v>
      </c>
      <c r="D51" s="23">
        <v>16238.5010879</v>
      </c>
      <c r="E51" s="23">
        <v>19938.610149200002</v>
      </c>
      <c r="F51" s="23">
        <v>18193.009179799999</v>
      </c>
    </row>
    <row r="52" spans="1:6">
      <c r="A52" s="152" t="s">
        <v>25</v>
      </c>
      <c r="B52" s="23">
        <v>228.1309043</v>
      </c>
      <c r="C52" s="23">
        <v>266.01387069999998</v>
      </c>
      <c r="D52" s="23">
        <v>955.63386060000005</v>
      </c>
      <c r="E52" s="23">
        <v>875.37920169999995</v>
      </c>
      <c r="F52" s="23">
        <v>1879.4776127</v>
      </c>
    </row>
    <row r="53" spans="1:6">
      <c r="A53" s="152" t="s">
        <v>22</v>
      </c>
      <c r="B53" s="23">
        <v>67892.910857299998</v>
      </c>
      <c r="C53" s="23">
        <v>51735.606354800002</v>
      </c>
      <c r="D53" s="23">
        <v>40289.397528200003</v>
      </c>
      <c r="E53" s="23">
        <v>33799.298652899997</v>
      </c>
      <c r="F53" s="23">
        <v>89100.986442399997</v>
      </c>
    </row>
    <row r="54" spans="1:6">
      <c r="A54" s="152" t="s">
        <v>23</v>
      </c>
      <c r="B54" s="23">
        <v>16053.0067425</v>
      </c>
      <c r="C54" s="23">
        <v>16224.8064024</v>
      </c>
      <c r="D54" s="23">
        <v>14620.1872595</v>
      </c>
      <c r="E54" s="23">
        <v>18244.0209201</v>
      </c>
      <c r="F54" s="23">
        <v>25588.532338699999</v>
      </c>
    </row>
    <row r="55" spans="1:6">
      <c r="A55" s="152" t="s">
        <v>24</v>
      </c>
      <c r="B55" s="23">
        <v>2178.4348408999999</v>
      </c>
      <c r="C55" s="23">
        <v>1397.0731840999999</v>
      </c>
      <c r="D55" s="23">
        <v>721.21596820000002</v>
      </c>
      <c r="E55" s="23">
        <v>1427.1046209000001</v>
      </c>
      <c r="F55" s="23">
        <v>7823.6026700000002</v>
      </c>
    </row>
    <row r="56" spans="1:6">
      <c r="A56" s="152" t="s">
        <v>26</v>
      </c>
      <c r="B56" s="23">
        <v>22401</v>
      </c>
      <c r="C56" s="23">
        <v>24215</v>
      </c>
      <c r="D56" s="23">
        <v>21170</v>
      </c>
      <c r="E56" s="23">
        <v>18954</v>
      </c>
      <c r="F56" s="23">
        <v>33260</v>
      </c>
    </row>
    <row r="57" spans="1:6">
      <c r="A57" s="151" t="s">
        <v>27</v>
      </c>
      <c r="B57" s="61">
        <v>33117.241143200001</v>
      </c>
      <c r="C57" s="61">
        <v>68656.891554899994</v>
      </c>
      <c r="D57" s="61">
        <v>92924.602068199994</v>
      </c>
      <c r="E57" s="61">
        <v>98152.082416300007</v>
      </c>
      <c r="F57" s="61">
        <v>109631.9186717</v>
      </c>
    </row>
    <row r="58" spans="1:6">
      <c r="A58" s="151" t="s">
        <v>28</v>
      </c>
      <c r="B58" s="61">
        <v>32065.0053444</v>
      </c>
      <c r="C58" s="61">
        <v>67539.037494200005</v>
      </c>
      <c r="D58" s="61">
        <v>89941.906650999998</v>
      </c>
      <c r="E58" s="61">
        <v>95259.990876099997</v>
      </c>
      <c r="F58" s="61">
        <v>104728.8228864</v>
      </c>
    </row>
    <row r="59" spans="1:6">
      <c r="A59" s="152" t="s">
        <v>29</v>
      </c>
      <c r="B59" s="23">
        <v>8766.0253499999999</v>
      </c>
      <c r="C59" s="23">
        <v>17446.58095</v>
      </c>
      <c r="D59" s="23">
        <v>18466.572749999999</v>
      </c>
      <c r="E59" s="23">
        <v>18466.572749999999</v>
      </c>
      <c r="F59" s="23">
        <v>18466.572749999999</v>
      </c>
    </row>
    <row r="60" spans="1:6">
      <c r="A60" s="152" t="s">
        <v>30</v>
      </c>
      <c r="B60" s="23">
        <v>15185.77101</v>
      </c>
      <c r="C60" s="23">
        <v>39484.34923</v>
      </c>
      <c r="D60" s="23">
        <v>41455.844620000003</v>
      </c>
      <c r="E60" s="23">
        <v>41453.426319999999</v>
      </c>
      <c r="F60" s="23">
        <v>41453.426319999999</v>
      </c>
    </row>
    <row r="61" spans="1:6">
      <c r="A61" s="152" t="s">
        <v>31</v>
      </c>
      <c r="B61" s="23">
        <v>6556.6724599999998</v>
      </c>
      <c r="C61" s="23">
        <v>6507.6833800000004</v>
      </c>
      <c r="D61" s="23">
        <v>9482.6691900000005</v>
      </c>
      <c r="E61" s="23">
        <v>9420.59843</v>
      </c>
      <c r="F61" s="23">
        <v>9953.3222399999995</v>
      </c>
    </row>
    <row r="62" spans="1:6">
      <c r="A62" s="152" t="s">
        <v>32</v>
      </c>
      <c r="B62" s="23">
        <v>-5225.0302916999999</v>
      </c>
      <c r="C62" s="23">
        <v>1100.7681795999999</v>
      </c>
      <c r="D62" s="23">
        <v>20536.837051300001</v>
      </c>
      <c r="E62" s="23">
        <v>25919.411069500002</v>
      </c>
      <c r="F62" s="23">
        <v>34855.520131600002</v>
      </c>
    </row>
    <row r="63" spans="1:6">
      <c r="A63" s="151" t="s">
        <v>33</v>
      </c>
      <c r="B63" s="61">
        <v>1052.2357988000001</v>
      </c>
      <c r="C63" s="61">
        <v>1117.8540607</v>
      </c>
      <c r="D63" s="61">
        <v>2982.6954172000001</v>
      </c>
      <c r="E63" s="61">
        <v>2892.0915401000002</v>
      </c>
      <c r="F63" s="61">
        <v>4903.0957853</v>
      </c>
    </row>
    <row r="64" spans="1:6">
      <c r="A64" s="153" t="s">
        <v>38</v>
      </c>
      <c r="B64" s="61">
        <f>B57+B41</f>
        <v>251900.6107428</v>
      </c>
      <c r="C64" s="61">
        <f t="shared" ref="C64:F64" si="19">C57+C41</f>
        <v>266719.03184189997</v>
      </c>
      <c r="D64" s="61">
        <f t="shared" si="19"/>
        <v>289977.01022469997</v>
      </c>
      <c r="E64" s="61">
        <f t="shared" si="19"/>
        <v>303917.7602965</v>
      </c>
      <c r="F64" s="61">
        <f t="shared" si="19"/>
        <v>470120.65940080001</v>
      </c>
    </row>
    <row r="67" spans="1:4">
      <c r="A67" s="154" t="s">
        <v>317</v>
      </c>
      <c r="B67" s="154" t="s">
        <v>300</v>
      </c>
      <c r="C67" s="154" t="s">
        <v>301</v>
      </c>
      <c r="D67" s="154" t="s">
        <v>302</v>
      </c>
    </row>
    <row r="68" spans="1:4">
      <c r="A68" s="155" t="s">
        <v>297</v>
      </c>
      <c r="B68" s="156">
        <f>N12</f>
        <v>13818.580750499999</v>
      </c>
      <c r="C68" s="154">
        <f>P12</f>
        <v>24925.993933400288</v>
      </c>
      <c r="D68" s="154">
        <f>Q12</f>
        <v>31159.111967520537</v>
      </c>
    </row>
    <row r="69" spans="1:4">
      <c r="A69" s="157" t="s">
        <v>303</v>
      </c>
      <c r="B69" s="156">
        <f>G21</f>
        <v>876.88573400000007</v>
      </c>
      <c r="C69" s="156">
        <f>G21</f>
        <v>876.88573400000007</v>
      </c>
      <c r="D69" s="156">
        <f>G21</f>
        <v>876.88573400000007</v>
      </c>
    </row>
    <row r="70" spans="1:4">
      <c r="A70" s="157" t="s">
        <v>304</v>
      </c>
      <c r="B70" s="156">
        <f>-(G32-F32)</f>
        <v>-2449626.2298655733</v>
      </c>
      <c r="C70" s="156">
        <f t="shared" ref="C70:D70" si="20">-(H32-G32)</f>
        <v>-616540.89744267939</v>
      </c>
      <c r="D70" s="156">
        <f t="shared" si="20"/>
        <v>-770716.18116017897</v>
      </c>
    </row>
    <row r="71" spans="1:4">
      <c r="A71" s="157" t="s">
        <v>305</v>
      </c>
      <c r="B71" s="156">
        <f>-(G34-F34)</f>
        <v>-7072850.321841171</v>
      </c>
      <c r="C71" s="156">
        <f t="shared" ref="C71:D71" si="21">-(H34-G34)</f>
        <v>-1773552.9026288651</v>
      </c>
      <c r="D71" s="156">
        <f t="shared" si="21"/>
        <v>-2217056.3637698554</v>
      </c>
    </row>
    <row r="72" spans="1:4">
      <c r="A72" s="157" t="s">
        <v>306</v>
      </c>
      <c r="B72" s="156">
        <f>-(G33-F33)</f>
        <v>-2899018.7590906923</v>
      </c>
      <c r="C72" s="156">
        <f t="shared" ref="C72:D72" si="22">-(H33-G33)</f>
        <v>-727870.54386140825</v>
      </c>
      <c r="D72" s="156">
        <f t="shared" si="22"/>
        <v>-909885.47275730781</v>
      </c>
    </row>
    <row r="73" spans="1:4">
      <c r="A73" s="157" t="s">
        <v>307</v>
      </c>
      <c r="B73" s="156">
        <f>G43-F43</f>
        <v>1877414.498672788</v>
      </c>
      <c r="C73" s="156">
        <f>H43-G43</f>
        <v>478139.53781216848</v>
      </c>
      <c r="D73" s="156">
        <f>I43-H43</f>
        <v>597705.48908079229</v>
      </c>
    </row>
    <row r="74" spans="1:4">
      <c r="A74" s="157" t="s">
        <v>308</v>
      </c>
      <c r="B74" s="156">
        <f>G48-F48</f>
        <v>1123196.8369309171</v>
      </c>
      <c r="C74" s="156">
        <f t="shared" ref="C74:D74" si="23">H48-G48</f>
        <v>293185.63764338312</v>
      </c>
      <c r="D74" s="156">
        <f t="shared" si="23"/>
        <v>366501.096606537</v>
      </c>
    </row>
    <row r="75" spans="1:4">
      <c r="A75" s="155" t="s">
        <v>309</v>
      </c>
      <c r="B75" s="156">
        <f>SUM(B68:B74)</f>
        <v>-9406188.5087092314</v>
      </c>
      <c r="C75" s="156">
        <f t="shared" ref="C75:D75" si="24">SUM(C68:C74)</f>
        <v>-2320836.2888100008</v>
      </c>
      <c r="D75" s="156">
        <f t="shared" si="24"/>
        <v>-2901415.434298492</v>
      </c>
    </row>
    <row r="76" spans="1:4">
      <c r="A76" s="157" t="s">
        <v>310</v>
      </c>
      <c r="B76" s="156">
        <f>-B69</f>
        <v>-876.88573400000007</v>
      </c>
      <c r="C76" s="156">
        <f t="shared" ref="C76:D76" si="25">-C69</f>
        <v>-876.88573400000007</v>
      </c>
      <c r="D76" s="156">
        <f t="shared" si="25"/>
        <v>-876.88573400000007</v>
      </c>
    </row>
    <row r="77" spans="1:4">
      <c r="A77" s="155" t="s">
        <v>311</v>
      </c>
      <c r="B77" s="156">
        <f>B76</f>
        <v>-876.88573400000007</v>
      </c>
      <c r="C77" s="156">
        <f t="shared" ref="C77:D77" si="26">C76</f>
        <v>-876.88573400000007</v>
      </c>
      <c r="D77" s="156">
        <f t="shared" si="26"/>
        <v>-876.88573400000007</v>
      </c>
    </row>
    <row r="78" spans="1:4">
      <c r="A78" s="157" t="s">
        <v>312</v>
      </c>
      <c r="B78" s="156">
        <f>O13</f>
        <v>2419.051359798827</v>
      </c>
      <c r="C78" s="156">
        <f t="shared" ref="C78:D78" si="27">P13</f>
        <v>3023.9713760883569</v>
      </c>
      <c r="D78" s="156">
        <f t="shared" si="27"/>
        <v>3780.1607007476564</v>
      </c>
    </row>
    <row r="79" spans="1:4">
      <c r="A79" s="155" t="s">
        <v>313</v>
      </c>
      <c r="B79" s="156">
        <f>B78</f>
        <v>2419.051359798827</v>
      </c>
      <c r="C79" s="156">
        <f t="shared" ref="C79:D79" si="28">C78</f>
        <v>3023.9713760883569</v>
      </c>
      <c r="D79" s="156">
        <f t="shared" si="28"/>
        <v>3780.1607007476564</v>
      </c>
    </row>
    <row r="80" spans="1:4">
      <c r="A80" s="157" t="s">
        <v>314</v>
      </c>
      <c r="B80" s="156">
        <f>SUM(B75,B77,B79)</f>
        <v>-9404646.3430834319</v>
      </c>
      <c r="C80" s="156">
        <f t="shared" ref="C80:D80" si="29">SUM(C75,C77,C79)</f>
        <v>-2318689.2031679121</v>
      </c>
      <c r="D80" s="156">
        <f t="shared" si="29"/>
        <v>-2898512.1593317441</v>
      </c>
    </row>
    <row r="81" spans="1:4">
      <c r="A81" s="157" t="s">
        <v>315</v>
      </c>
      <c r="B81" s="156">
        <f>F30</f>
        <v>22156.245630000001</v>
      </c>
      <c r="C81" s="156">
        <f>B82</f>
        <v>-9382490.0974534322</v>
      </c>
      <c r="D81" s="156">
        <f>C82</f>
        <v>-11701179.300621344</v>
      </c>
    </row>
    <row r="82" spans="1:4">
      <c r="A82" s="157" t="s">
        <v>316</v>
      </c>
      <c r="B82" s="156">
        <f>B80+B81</f>
        <v>-9382490.0974534322</v>
      </c>
      <c r="C82" s="156">
        <f>C80+C81</f>
        <v>-11701179.300621344</v>
      </c>
      <c r="D82" s="156">
        <f>D80+D81</f>
        <v>-14599691.459953088</v>
      </c>
    </row>
  </sheetData>
  <mergeCells count="1">
    <mergeCell ref="B26:F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재무상태표</vt:lpstr>
      <vt:lpstr>손익계산서</vt:lpstr>
      <vt:lpstr>현금흐름표</vt:lpstr>
      <vt:lpstr>재무비율분석</vt:lpstr>
      <vt:lpstr>추정현금흐름표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이상민</dc:creator>
  <cp:lastModifiedBy>이상민</cp:lastModifiedBy>
  <dcterms:created xsi:type="dcterms:W3CDTF">2025-04-02T14:50:35Z</dcterms:created>
  <dcterms:modified xsi:type="dcterms:W3CDTF">2025-05-09T14:28:21Z</dcterms:modified>
</cp:coreProperties>
</file>